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wa Barat" sheetId="1" r:id="rId5"/>
    <sheet state="visible" name="Jawa Tengah" sheetId="2" r:id="rId6"/>
    <sheet state="visible" name="Jawa Timur" sheetId="3" r:id="rId7"/>
    <sheet state="visible" name="Email" sheetId="4" r:id="rId8"/>
    <sheet state="visible" name="HWAPPNW" sheetId="5" r:id="rId9"/>
    <sheet state="visible" name="Bulanan" sheetId="6" r:id="rId10"/>
    <sheet state="visible" name="Sumary " sheetId="7" r:id="rId11"/>
    <sheet state="visible" name="Data Replace " sheetId="8" r:id="rId12"/>
  </sheets>
  <definedNames/>
  <calcPr/>
</workbook>
</file>

<file path=xl/sharedStrings.xml><?xml version="1.0" encoding="utf-8"?>
<sst xmlns="http://schemas.openxmlformats.org/spreadsheetml/2006/main" count="1897" uniqueCount="456">
  <si>
    <t>CASE JANUARI 2026</t>
  </si>
  <si>
    <t>No</t>
  </si>
  <si>
    <t>TANGGAL</t>
  </si>
  <si>
    <t>Time</t>
  </si>
  <si>
    <t>SITE</t>
  </si>
  <si>
    <t>Case</t>
  </si>
  <si>
    <t xml:space="preserve">Catagory </t>
  </si>
  <si>
    <t>Rout Couse</t>
  </si>
  <si>
    <t>TROUBLESHOT MKT</t>
  </si>
  <si>
    <t>SOLVER</t>
  </si>
  <si>
    <t>Status</t>
  </si>
  <si>
    <t>Catagory Case</t>
  </si>
  <si>
    <t>Respon at</t>
  </si>
  <si>
    <t>Resolved at</t>
  </si>
  <si>
    <t>Dampak</t>
  </si>
  <si>
    <t>Reason On Hold</t>
  </si>
  <si>
    <t>Cianjur</t>
  </si>
  <si>
    <t xml:space="preserve"> Input Tiket Dusun Mayit pukul 10.15 </t>
  </si>
  <si>
    <t>Grup/WhatsApp</t>
  </si>
  <si>
    <t>Akan diopen jam 21:00 WIB</t>
  </si>
  <si>
    <t>Tim Dev</t>
  </si>
  <si>
    <t>Solved</t>
  </si>
  <si>
    <t>COS</t>
  </si>
  <si>
    <t>Subang</t>
  </si>
  <si>
    <t xml:space="preserve">Tidak bisa cetak tiket </t>
  </si>
  <si>
    <t>Dilakukan pengecekan printer</t>
  </si>
  <si>
    <t>Febryano/Bewok</t>
  </si>
  <si>
    <t>Tiket jadi tidak keluar saat ada transaksi</t>
  </si>
  <si>
    <t xml:space="preserve">Tampilan arah ke customer di pos 102 tiba-tiba bermasalah. </t>
  </si>
  <si>
    <t>Untuk case tersebut setelah dilakukan pengecekan by Video Call dengan Team Site SBG dan by Remote . Terjadi kerusakan Hardware pada Monitor POS 102 yang disebabkan kemungkinan terbesar nya karna Overheat dan Panas dari Sinar Matahari yang langsung mengenai Monitor tersebut dan indikasinya panel monitor rusak. jd sekarang keputusan ada di team sams</t>
  </si>
  <si>
    <t>HADRAWE</t>
  </si>
  <si>
    <t>Cutomer tidak melihat saat memilih seat saat melakukan transaksi</t>
  </si>
  <si>
    <t xml:space="preserve">unsolved dikarenakan menunggu keputusan dari pihak sams mau di ganti atau tidak karena monitornya rusak </t>
  </si>
  <si>
    <t>Indramayu</t>
  </si>
  <si>
    <t>Kru baru tidak bisa login pos</t>
  </si>
  <si>
    <t xml:space="preserve">Karena belum di atur mode roll nya di cos dan akun kru belum di daftarkan. jadi tim MKT membantu untuk mendaftrakan </t>
  </si>
  <si>
    <t>crew tidak bisa tidak bisa login ke pos</t>
  </si>
  <si>
    <t>Jalur</t>
  </si>
  <si>
    <r>
      <rPr/>
      <t xml:space="preserve">Schedule tidak bisa pilih kota
Troubleshoot yang sudah dilakukan : restart TV, Clear cache &amp; data, di test dengan 2 LCD TV tidak bisa semuanya, 
Cek web </t>
    </r>
    <r>
      <rPr>
        <color rgb="FF1155CC"/>
        <u/>
      </rPr>
      <t>http://schedule.sams.id</t>
    </r>
  </si>
  <si>
    <t>Memandu PIC untuk restart LCD Tersebut lalu buka URL Schedule Kembali dan hasilnya amsih belum bisa klik kota
Memandu PIC untuk melakukan Clear Cache &amp; Clear Data pada browser tersebut dan hasilnya belum solved
Menyarankan PIC untuk download another APP BROWSER dan membuka Link URL schedule di browser baru tersebut dan hasil nya SOLVED</t>
  </si>
  <si>
    <t>Alif</t>
  </si>
  <si>
    <t>Cibadak</t>
  </si>
  <si>
    <t xml:space="preserve"> LCD TV schedule tidak muncul</t>
  </si>
  <si>
    <t xml:space="preserve">Di Refresh dan di coba untuk membuka schedule di browser lain. </t>
  </si>
  <si>
    <t>Aji</t>
  </si>
  <si>
    <t>Garut</t>
  </si>
  <si>
    <t>aplikasi WPS logout tidaak bisa loging</t>
  </si>
  <si>
    <t>Login dan minta verifikasi ke email site</t>
  </si>
  <si>
    <t xml:space="preserve">13-01-2026  </t>
  </si>
  <si>
    <t>Web schedule lcd tdk bisa pilih kota, sudah di coba di 3 browser berbeda, dan sudah bbrp kali d refresh</t>
  </si>
  <si>
    <t>terkait schedule yang ga bisa di buka di beberapa site 
saya menemukan di log bahwa endpoint di BE (ENV) tidak terbaca 
hal yang dilakukan untuk perbaikan adalah dengan harcode url be (sementara) dari server side vite dan update stack vite</t>
  </si>
  <si>
    <t>15-01-2026</t>
  </si>
  <si>
    <t>Tidak ada jaringan internet di PC office</t>
  </si>
  <si>
    <t xml:space="preserve">Iforte mengalami Down Connection </t>
  </si>
  <si>
    <t>NETWORK</t>
  </si>
  <si>
    <t>18-01-2026</t>
  </si>
  <si>
    <t xml:space="preserve">pos conce tidak tersingkronkan ke PC back office </t>
  </si>
  <si>
    <t>Nama crew sudah muncul di cos.sales dan sudah diregist float money, Tetapi belum bisa login pos</t>
  </si>
  <si>
    <t xml:space="preserve">belum di daftarkan oleh HQ sams untuk roll usernya </t>
  </si>
  <si>
    <t>17-01-2026</t>
  </si>
  <si>
    <t>untuk movie dan showtime sudah terlewat masih bisa dipunch</t>
  </si>
  <si>
    <t>belum di close setelah open untuk tiket yang bleum terinput</t>
  </si>
  <si>
    <t>Vanny</t>
  </si>
  <si>
    <t>19-01-2026</t>
  </si>
  <si>
    <t>Input Tiket Event Nobar Cyberbulying jam 11.00 Studio 1,2 dan 3 yang sudah terlewat</t>
  </si>
  <si>
    <t>input tiket terlewat dan akan dib open jam 21:00</t>
  </si>
  <si>
    <t>22-01-2026</t>
  </si>
  <si>
    <t>Input Tiket Event Nobar Cyberbulying jam 11:00 Studio 3 yang sudah terlewat</t>
  </si>
  <si>
    <t>input tiket terlewat dan akan dib open jam 21:01</t>
  </si>
  <si>
    <t>23/01/2026</t>
  </si>
  <si>
    <t>Tidak bisa buka web Cos</t>
  </si>
  <si>
    <t xml:space="preserve">Salah buka URL, </t>
  </si>
  <si>
    <t>OMded</t>
  </si>
  <si>
    <t>30-01-2026</t>
  </si>
  <si>
    <t>tidak bisa absen ( melebihi batas) posisi di site</t>
  </si>
  <si>
    <t>GPSnya tidak valid, dan di kalibrasi ulang akhirnya solved</t>
  </si>
  <si>
    <t>SIAGI</t>
  </si>
  <si>
    <t xml:space="preserve">CASE FEBRUARI 2026 </t>
  </si>
  <si>
    <t xml:space="preserve">Root Couse </t>
  </si>
  <si>
    <t>POs Runchise tidak bisa cetak begitu equipment direstart print jalan terus  kemudian tidak bisa print lagi dengan  muncul erorr runchise seperti gambar diatas</t>
  </si>
  <si>
    <t>ketika muncul notif seperti ini di karenakan ketika close app, app POV customer tidak ikut terclose. dan juga jangan melakikan spam cetak tiket (karna dapat menyebabkan queue print stuck dan penuh) 
untuk troubleshoot nya :
cukup di end task saja  app runchisenya di task manager, lalu login kembali</t>
  </si>
  <si>
    <t>RUNCHISE</t>
  </si>
  <si>
    <t>show kafir di jam 11.55 sudah hilang sedangkan baru telat 5 mnit</t>
  </si>
  <si>
    <t xml:space="preserve"> dampak dari update versi dengan showtime tertentu, test case normal terimpact</t>
  </si>
  <si>
    <t>script di rollback ke versi sebelum nya dan menggnakan versi baru untuk membuka showtime ny</t>
  </si>
  <si>
    <t>show papa zola sudah hilang setelah 15 menit show mulai</t>
  </si>
  <si>
    <t>show Alas Roban di jam 13.50 sudah hilang sedangkan baru telat 16 mnit</t>
  </si>
  <si>
    <t>show tolong saya sudah hilang setelah 3 menit show mulai</t>
  </si>
  <si>
    <t>Printer office tidak bisa scan 
Mohon dibantu untuk solvingnya.</t>
  </si>
  <si>
    <t>permasalahan nya karena aplikasi HP Smart nya bermasalah</t>
  </si>
  <si>
    <t>di update dengan Manual Driver HP , dan sekaran untuk scan menggunakan aplikasi HP Scan terbaru</t>
  </si>
  <si>
    <t>CM kirim email menggunakan akun email nya ke beberapa alamat email vendor yang berbeda menggunakan eM Client tetapi notifnya undelivered semua</t>
  </si>
  <si>
    <t>karna site salah buka lharusnya pakai outlook tetapi</t>
  </si>
  <si>
    <t xml:space="preserve">mengarahkan cts membukanya lewat outlokk bukan eM client krn itu hanya untuk backup data email </t>
  </si>
  <si>
    <t>Global</t>
  </si>
  <si>
    <r>
      <rPr/>
      <t xml:space="preserve">site tidak bisa akses </t>
    </r>
    <r>
      <rPr>
        <color rgb="FF1155CC"/>
        <u/>
      </rPr>
      <t>cos.sams.id</t>
    </r>
  </si>
  <si>
    <t>update konfigurasi proxy pada server pusat</t>
  </si>
  <si>
    <t>re-check dan refresh update configurasi</t>
  </si>
  <si>
    <t>Server On Premise</t>
  </si>
  <si>
    <t>Jumlah total Edc dashboard tidak sesuai, namun jumlah transaksi sudah sesuai</t>
  </si>
  <si>
    <t>FNB02 site IDM tidak bisa print struk</t>
  </si>
  <si>
    <t xml:space="preserve">karena kabelnya kendor jdnya tidak bisa connect </t>
  </si>
  <si>
    <t>Memandu MOD untuk pengecekan kabel nya , setelah di cek bahwa kabelnya memenag kendor maka dari itu tidak bisa connect ke pos</t>
  </si>
  <si>
    <t>Rama</t>
  </si>
  <si>
    <t>Muncul "warning : No Sales to Close" di form Close Sales web sales.sams.id sales saat melakukan close sales akun an. Dwi Putri Nopianti.</t>
  </si>
  <si>
    <t xml:space="preserve">Karena site sebelumnya sudah melakukan close maka tidak bisa untuk close 2x </t>
  </si>
  <si>
    <t xml:space="preserve">Tim mkt melalukan penghapusan pada data yang double dan tim site bisa langsung log out dari POS tanpa harus ke COS </t>
  </si>
  <si>
    <t>Saat copy dari HDD DCP ke storage muncul notif Error while copyng setelah 20% proses copy semua HDD DCP mengalami kendala yang sama</t>
  </si>
  <si>
    <t>Meminta kredinsial</t>
  </si>
  <si>
    <t xml:space="preserve">CASE MARET 2026 </t>
  </si>
  <si>
    <t>Tidak dapat akses web absensi dari laptop cm dgn url link https://absensi.sams.id</t>
  </si>
  <si>
    <t>Laptop CM Diki Tristan terhubung ke Wifi CS_Box . sedangkan wifi tersebut tidak memberikan akses internet</t>
  </si>
  <si>
    <t>Meminta kepada CM untuk menghubungkan Laptop ke Wifi SamsAp</t>
  </si>
  <si>
    <t>LCD Display tidak bisa menampilkan showtime link https://schedule sams.id</t>
  </si>
  <si>
    <t xml:space="preserve">Naikin DR </t>
  </si>
  <si>
    <t>Pemesanan tiket mental, sudah dicoba beberapa kali dan sudah coba sign out dan restart tetap mental (tidak open 2 pos)</t>
  </si>
  <si>
    <t xml:space="preserve">Absen melebihibatas </t>
  </si>
  <si>
    <t>Tidak bisa Absen aplikasi Siagi</t>
  </si>
  <si>
    <t>Clear Data - Uninstall - Reinstall Aplikasi Siagi</t>
  </si>
  <si>
    <t>SPV Amri Tanar belum melakukan update Aplikasi Siagi</t>
  </si>
  <si>
    <t>Update Aplikasi Siagi</t>
  </si>
  <si>
    <t xml:space="preserve">Display showtime pada LCD tidak tampil </t>
  </si>
  <si>
    <r>
      <rPr/>
      <t xml:space="preserve">Suggest menggunakan url </t>
    </r>
    <r>
      <rPr>
        <color rgb="FF1155CC"/>
        <u/>
      </rPr>
      <t>schedule.samsstudios.id</t>
    </r>
  </si>
  <si>
    <t xml:space="preserve">Button promo tidak tampil </t>
  </si>
  <si>
    <t>VOUCHER</t>
  </si>
  <si>
    <t xml:space="preserve">Pembayaran top up saldo aplikais sams gagal atau tidak berhasil </t>
  </si>
  <si>
    <t xml:space="preserve">akun site tidak bis login atas nama sri dan rusdiati </t>
  </si>
  <si>
    <t>akun untuk indah sudah solved kita reset password karena mereka lupa, tetapi untuk akun rusdianti belum diaktofkan oleh HQ sams</t>
  </si>
  <si>
    <t xml:space="preserve">Akun atas nama indah dan sri tidak bis alogout di POS </t>
  </si>
  <si>
    <t xml:space="preserve">website absensi dan sales tidak dapat di akses, storage trailer di LCD dome tidak bisa play </t>
  </si>
  <si>
    <t>Jaringan terpantau RTO</t>
  </si>
  <si>
    <t>-</t>
  </si>
  <si>
    <t xml:space="preserve">POS loading terus dan tidak bisa untuk transaksi </t>
  </si>
  <si>
    <t xml:space="preserve">Struk tidak kelur </t>
  </si>
  <si>
    <t xml:space="preserve">sales tidak keluar </t>
  </si>
  <si>
    <t xml:space="preserve">nominal sales tdk keluar di kerenakan user tdk aktif dan skrg statusnya sudah di aktifkan oleh tim MKT, close sales tidak bisa dikarenakan statusnya sat ini sudah terkunci dan akan otomatis terclose oleh sistem </t>
  </si>
  <si>
    <t>Rendy</t>
  </si>
  <si>
    <t xml:space="preserve">Tidak bisa close up </t>
  </si>
  <si>
    <t>Tidak dapat akses web COS</t>
  </si>
  <si>
    <t xml:space="preserve">Struk tidak keluar semua </t>
  </si>
  <si>
    <t xml:space="preserve">Hadware printer tidak singkron dengan driver nya, </t>
  </si>
  <si>
    <t xml:space="preserve">Hadware printer tidak singkron dengan driver nya jadi di remote dengan tim teknisi dan sudha kembali normal, </t>
  </si>
  <si>
    <t xml:space="preserve">Terdapat perbedaan harga unruk film suzana yaitu 34.999 padahal create yang di input sudah 35.000 </t>
  </si>
  <si>
    <t>Humman error atau saat input data terjadi atau terpencet tanda panas jadi harganya berubah menjadi 34.999</t>
  </si>
  <si>
    <t xml:space="preserve">dilakukan pengecekan data dengan tim dev dan sudah di temukan bahwa terjadi kesalahan tim site saat memasukan data atau harga </t>
  </si>
  <si>
    <t xml:space="preserve">Sales tidka muncul nominal </t>
  </si>
  <si>
    <t>sales tidka mucnul dikarenakan sales melebih maksimal yang ditentukan</t>
  </si>
  <si>
    <t>CASE</t>
  </si>
  <si>
    <t>Column 15</t>
  </si>
  <si>
    <t>Ungaran</t>
  </si>
  <si>
    <t xml:space="preserve">Tidak bisa menampilkan showtime dan tidak bisa pilih kota </t>
  </si>
  <si>
    <t>dikarenakan membuka web di lcd pada hari baru, browser tersebut ngehasilin cache baru, yang harus nya cache ter update secara otomatis, dalam hal case tersebut cache tidak terupdate secara otomatis sehingga diperlukan "clear cache"secara manual.  kebetulan CTS sedang mengerjakan hal lain untuk kebutuhan first show dan pengerjaan case tersebut sempat On hold</t>
  </si>
  <si>
    <t>Pekalongan</t>
  </si>
  <si>
    <t>Tidak bisa menampilkan lcd trailer</t>
  </si>
  <si>
    <t>Jaringan LCD tidak terkoneksi dan terhubung dengan baik sehingga harus memandu CTS untuk melakukan pengecekan terhadap koneksi.. 
kebetulan CTS nya sedang mengerjakan hal lain yaitu memantau pemeriksaan AC studio dan pengerjaan case tersebut sempat On hold</t>
  </si>
  <si>
    <t>schedule movie dan lcd trailer berhenti</t>
  </si>
  <si>
    <t>karena jaringan nya tidak stabil</t>
  </si>
  <si>
    <t>klaten</t>
  </si>
  <si>
    <t xml:space="preserve"> tidak bisa masuk ke web   schedule movie
Troubleshoot yang sudah dilakukan : Restart LCD &amp; Clear cache</t>
  </si>
  <si>
    <t xml:space="preserve">Memandu PIC untuk makesure web browser dengan link url yang benar(INI PAS MASIH caseNYA salah buka URL)
Memandu PIC untuk restart LCD Tersebut lalu buka URL Schedule Kembali dan hasilnya amsih belum bisa klik kota
Menyarankan PIC untuk download another APP BROWSER dan membuka Link URL schedule di browser baru tersebut
Memandu PIC untuk melakukan Clear Cache &amp; Clear Data pada browser tersebut dan hasilnya SOLVED
</t>
  </si>
  <si>
    <t>Salatiga</t>
  </si>
  <si>
    <t xml:space="preserve">Tidak bisa input vocher </t>
  </si>
  <si>
    <t>Ubah hari jadi all day, sebelumnya di fold nya itu hari senin/minggu index nya 0</t>
  </si>
  <si>
    <t>Penambahan device cctv fnb di IVMS app</t>
  </si>
  <si>
    <t>tim mkt melakukan remote pc office SLG dan menambahkan device cctv sesuai request yaitu cxtb fnb</t>
  </si>
  <si>
    <t>Pemalang</t>
  </si>
  <si>
    <t>semua device not connect  PC Office, TMS, POS</t>
  </si>
  <si>
    <r>
      <t xml:space="preserve">UPS nyas rusak atau error
ketika listrik up tim site by pass pada kelistikan ( tidak mengunakan ups karena praduga upsnya error ) ketika listrik sudah up pc office belum bisa tercokenksi jaringan internet, lalu praduga tim mkt pc office mnegalami penyesuaian sistem karena sebelumnya terjadi error di server . tim mkt meynarankan restar pc office tersebut, dan akhirnya pc office terkoneksi kembali.   </t>
    </r>
    <r>
      <rPr>
        <rFont val="Arial"/>
        <b/>
        <color theme="1"/>
      </rPr>
      <t>update dari CTS Firman UPS server sedang di service, sementara pinjam spare dari PKL. all device di rak server PML kembali normal</t>
    </r>
  </si>
  <si>
    <t>Dedy Dan Ali</t>
  </si>
  <si>
    <t>tidak bisa menggunakan Kode Promo B1G1 Malam 3 Yasinan, saat check promo muncul notif tersebut, masukin voucher secara manual pos mental jd pilih kursi l</t>
  </si>
  <si>
    <t xml:space="preserve">Tidak bisa di pakai di karenakan voucher nya sudah habis. </t>
  </si>
  <si>
    <t>13/1/2026</t>
  </si>
  <si>
    <t xml:space="preserve">tidak dapat copy film ataupun create folder baru, storage ungaran di tms tidak terbaca
</t>
  </si>
  <si>
    <t>Mount permission read only nya nyala</t>
  </si>
  <si>
    <t>13/1/2027</t>
  </si>
  <si>
    <t>re-add mapping drive baru di pc TMS dengan credential yg ada. mapping drive hilang by user on site &gt; dibantu oleh CTS Arifin dan Alif</t>
  </si>
  <si>
    <t xml:space="preserve">14-01-2026 </t>
  </si>
  <si>
    <t>Gombong</t>
  </si>
  <si>
    <t>Printer Error E3 office error</t>
  </si>
  <si>
    <t>pandu CTS untuk makesure dan bisa lihat akses lebih masuk ke dalem ada yang nyangkut atau engga, ternyata di dalem printer ada barang ( karet )  yang yangkut</t>
  </si>
  <si>
    <t>15-1-2026</t>
  </si>
  <si>
    <t xml:space="preserve">cctv pintu masuk ngembun </t>
  </si>
  <si>
    <t>menunggu hujan reda, karena di site sedang hujan lebat</t>
  </si>
  <si>
    <t xml:space="preserve"> print tiket online tidak tercetak semua</t>
  </si>
  <si>
    <t>human error</t>
  </si>
  <si>
    <t>Tidak bisa cetak struk FNB01</t>
  </si>
  <si>
    <t>Kabel USB Printer Kendor</t>
  </si>
  <si>
    <t>pengecekan by Remote, pengecekan Hardware Printer Thermal by VC</t>
  </si>
  <si>
    <t>Tidak dapat Print Struk</t>
  </si>
  <si>
    <t>16-01-2026</t>
  </si>
  <si>
    <t>Tidak ada button   untuk promo b1g1 dan menggunakan voucher pun exp padahal belum digunakan</t>
  </si>
  <si>
    <t>Memandu PIC untuk melakukan End task pada aplikasi Counter Ticket, dan Relogin pada aplikasi. dan BUTTON promo sudah muncul kembali di aplikasi</t>
  </si>
  <si>
    <t>PC pos dan fnb tidak bisa konek internet dengan sams_ap.</t>
  </si>
  <si>
    <t xml:space="preserve">Device AP nya terpantau mengalami putus koneksi (offline) dan fisik nya mati, memandu CTS untuk melakukan pengecekan pada device tersebut </t>
  </si>
  <si>
    <t>pos blank putih kemudian poster film tidak munc</t>
  </si>
  <si>
    <t>koneksi internetnya</t>
  </si>
  <si>
    <t>Kebumen</t>
  </si>
  <si>
    <t>Crew baru tidak bisa login pos</t>
  </si>
  <si>
    <t>Passwordnya salah, jd di bantu mkt untuk reset password</t>
  </si>
  <si>
    <t>20-1-2026</t>
  </si>
  <si>
    <t>Solo</t>
  </si>
  <si>
    <t>Input Tiket Event Nobar Cyberbulying jam 09.00 Studio 2</t>
  </si>
  <si>
    <t>open showtime terlewat jam 21:00</t>
  </si>
  <si>
    <t>21-01-2026</t>
  </si>
  <si>
    <t>Input Tiket Event Nobar Cyberbulying jam 09.00 Studio 2 &amp;3 yang sudah terlewat</t>
  </si>
  <si>
    <t>21-01-2027</t>
  </si>
  <si>
    <t>Input Tiket Event Nobar Cyberbulying jam 12.00 Studio 3</t>
  </si>
  <si>
    <t>open showtime terlewat jam 21:01</t>
  </si>
  <si>
    <t xml:space="preserve"> Saat mengecek report sales loading lama dan tidak muncul nominal sales
</t>
  </si>
  <si>
    <t>dikarenakan trx nya kebanyakan 
harus ada penyesuaian disisi service"</t>
  </si>
  <si>
    <t>tidak bisa membuka web cos.sams.id , tetapi untuk web yang lainnya bisa.</t>
  </si>
  <si>
    <t>Maintenance server biznet</t>
  </si>
  <si>
    <t>23-1-2026</t>
  </si>
  <si>
    <t>fingers CL atas nama zaza tidak bisa akses masuk office</t>
  </si>
  <si>
    <t>Error dikarenakan device mengalami kehujanan jadi tidak terbaca jarinya, lalu direcollect ulang kemudia bisa lagi</t>
  </si>
  <si>
    <t>Input Tiket tambahan Event Nobar Cyberbulying jam 08:00 Studio 1 yang sudah terlewat</t>
  </si>
  <si>
    <t>Open show yang terlewat , diopen jam 21:00</t>
  </si>
  <si>
    <t>24-01-2026</t>
  </si>
  <si>
    <t>report tidak muncul nominal cash, qris dll atas nama Rifa syaifullah dan diyas putra sekawan</t>
  </si>
  <si>
    <t>dikarenakan trx nya lebih dari yg kita set, maka dari itu
harus ada penyesuaian disisi service</t>
  </si>
  <si>
    <t>25-1-2026</t>
  </si>
  <si>
    <t>pembuatan finger print crew untuk akses ke loker, atas nama</t>
  </si>
  <si>
    <t>Daftar finger</t>
  </si>
  <si>
    <t>26-01-2026</t>
  </si>
  <si>
    <t>Tidak ada acces internet</t>
  </si>
  <si>
    <t>maintenance dari iforte</t>
  </si>
  <si>
    <t>28-01-2026</t>
  </si>
  <si>
    <t xml:space="preserve">Tidak bisa membuka Aplikasi Runchise </t>
  </si>
  <si>
    <t>Smart App Control aktif karna ada update dari windows</t>
  </si>
  <si>
    <t>Nonaktif Smart App Control</t>
  </si>
  <si>
    <t>Aplikasi Runchise tidak dapat digunakan</t>
  </si>
  <si>
    <t>karena salah password</t>
  </si>
  <si>
    <t>amel</t>
  </si>
  <si>
    <t>29-02-2026</t>
  </si>
  <si>
    <t>Button promo B1G1 belum muncul</t>
  </si>
  <si>
    <t>Febuari 2026</t>
  </si>
  <si>
    <t>Root Couse</t>
  </si>
  <si>
    <t>Input Tiket Event Nobar Cyberbullying jam 09:00 Studio 1 &amp; jam 11:00 studio 1&amp;2</t>
  </si>
  <si>
    <t xml:space="preserve"> Show Alas Roban yg jam 13.50 dan Kafir jam 14.10 sudah hilang di jam waktu baru lewat 16 mnit</t>
  </si>
  <si>
    <t xml:space="preserve">Input  Tiket Event Nobar Cyberbulying yang sudah terlewat  </t>
  </si>
  <si>
    <t>cctv screen std 3  eror pada ivms</t>
  </si>
  <si>
    <t>On Hold</t>
  </si>
  <si>
    <t>eM Client tidak bisa menerima dan mengirim email, dengan keterangan "Demo Expired" (screen capture terlampir)</t>
  </si>
  <si>
    <t>eM Client tidak bisa menerima email, dengan keterangan "Demo Expired"</t>
  </si>
  <si>
    <t>Tidak ada opsi Titik Tiga saat ingin melakukan refund</t>
  </si>
  <si>
    <t>Pos FNB site UNG tidak bisa print struk</t>
  </si>
  <si>
    <t>Document menumpuk pada queue printer , dikarenakan terlalu banyak spam print struk</t>
  </si>
  <si>
    <t xml:space="preserve">Hapus Document yang menumpuk pada queue Driver Printer </t>
  </si>
  <si>
    <t>Tidak bisa Print Struk</t>
  </si>
  <si>
    <t>Web cos tidak bisa di akses</t>
  </si>
  <si>
    <t>Web server sama studios sedang maintennace</t>
  </si>
  <si>
    <t xml:space="preserve">memberitahu ke tim site untuk mengunakan url  yang lama </t>
  </si>
  <si>
    <t>Sudah memasukan idpass dengan benar namun tetap error</t>
  </si>
  <si>
    <t>Memberitahu ke tim site bahwa harus selalu mengigat id pass</t>
  </si>
  <si>
    <t>mengarahkan tim site untuk menganti password sendiri karena salah password</t>
  </si>
  <si>
    <t xml:space="preserve">Input  Tiket  Dusun Mayit show yang sudah terlewat  </t>
  </si>
  <si>
    <t>Tidak bisa buka web Absensi keterangan 404 page not found</t>
  </si>
  <si>
    <t xml:space="preserve">membeitahu tim iste bahwa url nya salah , jadi tim mkt memberikan url yang benar </t>
  </si>
  <si>
    <t>Tidak bisa copy to storage (error while copyng)</t>
  </si>
  <si>
    <t>Monitor Self Ticket tidak mau menyala, sudah ganti adaptor tetap tidak bisa</t>
  </si>
  <si>
    <t>Acces door studios 3 tidak bisa merespon sidik jari, sudh di lakukan restart perangkat</t>
  </si>
  <si>
    <t xml:space="preserve">Crew tidak bisa finger masuk patry </t>
  </si>
  <si>
    <t xml:space="preserve">Acces door office tidak bisa terkunci </t>
  </si>
  <si>
    <t xml:space="preserve">Tidak bisa absen diabdi </t>
  </si>
  <si>
    <t>Semua Site/Global</t>
  </si>
  <si>
    <t xml:space="preserve">Aksesdoor tidak bisa merespon sidik jari </t>
  </si>
  <si>
    <t>Registrasi ulang untuk Crew yang fingernya bermasalah</t>
  </si>
  <si>
    <t xml:space="preserve">Website absensi dan sales tidak dapat di akses </t>
  </si>
  <si>
    <t xml:space="preserve">Req akses broewser di table . </t>
  </si>
  <si>
    <t>Close sales namun akun masi stay pada pos</t>
  </si>
  <si>
    <t>Clear cache Aplikasi Tiketing</t>
  </si>
  <si>
    <t xml:space="preserve">POS FNB tidak dapat print struk </t>
  </si>
  <si>
    <t>PC FNB baru Ex Site Garut, baru tiba di Site UNG. sudah disampaikan sebelumnya ke Team Tech Sams bahwa jika device tersebut sudah dikirimkan dan sudah sampai di Site untuk di informasikan ke Team MKT. Agar Printer dapat di setting menggunakan Akun Production Runchise</t>
  </si>
  <si>
    <t>Setting Printer Menggunakan akun Production Runchise / Kasir Site</t>
  </si>
  <si>
    <t xml:space="preserve">Pembayaran Top up saldo tidak berhasil </t>
  </si>
  <si>
    <t>Top Up Saldo</t>
  </si>
  <si>
    <t>Web COS error</t>
  </si>
  <si>
    <t>WEb COS dan sales error</t>
  </si>
  <si>
    <t>Mengarahkan cts untuk merapihkan kabel dan hapus query nya</t>
  </si>
  <si>
    <t xml:space="preserve">POS Ticket Double </t>
  </si>
  <si>
    <t xml:space="preserve">BUtton cek promo tidka muncul </t>
  </si>
  <si>
    <t xml:space="preserve">Tidak bisa cetak tiket online </t>
  </si>
  <si>
    <t xml:space="preserve">setelah di lakukan pengecekan untuk booking ID tersebuit sudah melalukan cetak tiket , oleh kerena itu tiket tidak dapat tercetak kembali </t>
  </si>
  <si>
    <t xml:space="preserve">tiket tidak tercetak dan keluar di stm hanya stuck . </t>
  </si>
  <si>
    <t xml:space="preserve">spam barcode scanner jd nomer hp dan booking numpuk </t>
  </si>
  <si>
    <t xml:space="preserve">Tidak dapat mengunakan aplikasi wps di pc office </t>
  </si>
  <si>
    <t>TROUBLESHOT SITE</t>
  </si>
  <si>
    <t>Probolinggo</t>
  </si>
  <si>
    <t xml:space="preserve">Crew tidak bisa login di pos </t>
  </si>
  <si>
    <t>tidak bisa akses di karenakan terbaca bahwa di daftar cinema terdapat duplikasi data cinema untuk site 
1. Klaten
2. Pasuruan
3. Probolinggo
4. Salatiga</t>
  </si>
  <si>
    <t>schedule tidak bisa pilih kota
Troubleshoot yang sudah dilakukan : restart TV, Clear cache &amp; data, di test dengan 2 LCD TV tidak bisa semuanya, 
Cek web http://schedule.sams.id di pc office juga tidak bisa pilih kota</t>
  </si>
  <si>
    <t xml:space="preserve">Dilakukan clear cache dan clear data </t>
  </si>
  <si>
    <t>tidak bisa input voucher
Troubleshoot yang sudah dilakukan</t>
  </si>
  <si>
    <t>Mengecek di data base, ternyata vouchernya belum aktiv</t>
  </si>
  <si>
    <t xml:space="preserve">Tidak bisa input voucher </t>
  </si>
  <si>
    <t>Schedule tidak bisa pilih kota</t>
  </si>
  <si>
    <t>Site membuka URL menggunakan browser Here. Namun, setelah dicoba clear cache dan data, masalah masih belum teratasi.
Akhirnya disarankan untuk menggunakan browser lain.
Saat menggunakan browser lain, sempat terjadi loading sedikit lama pada bagian pemilihan kota, tetapi pada akhirnya situs berhasil terbuka kembali dengan normal.</t>
  </si>
  <si>
    <t xml:space="preserve">Pasuruan </t>
  </si>
  <si>
    <t xml:space="preserve">Tidak muncul nominal sales tiket Crew An Amelia Ayu Navisyah </t>
  </si>
  <si>
    <t>"dikarenakan trx nya kebanyakan 
harus ada penyesuaian disisi service"</t>
  </si>
  <si>
    <t xml:space="preserve"> Promo B1g1 Buto Ijo masih tertera harga 30.000 seharusnya harga tiket 35.000</t>
  </si>
  <si>
    <t>karna dari HQ sams lupa menganti harga menjadi 35.000</t>
  </si>
  <si>
    <t>20-01-2026</t>
  </si>
  <si>
    <t xml:space="preserve"> crew tidak bisa login dan sudah diregist, sudah login mod terlebih dahulu Tetapi crew tetap tidak bisa login pos </t>
  </si>
  <si>
    <t>Terdapat 3 cinema dan salah satunya ada yg null membuat crew tidak bisa loggin, jadi tim MKT menghapus 2 cinema dan berhasil login</t>
  </si>
  <si>
    <t>22/1/2026</t>
  </si>
  <si>
    <t>Maintenance serever biznet</t>
  </si>
  <si>
    <t>Dedy dan alif</t>
  </si>
  <si>
    <t>Nganjuk</t>
  </si>
  <si>
    <t xml:space="preserve"> Tidak bisa membuka Aplikasi Runchise </t>
  </si>
  <si>
    <t xml:space="preserve">Promo B1G1 hanya terpotong 2% di Web </t>
  </si>
  <si>
    <t xml:space="preserve">di karenakan saat membuat master voucher user membuat hanya 2% bukan  50%  (HQ sams ) </t>
  </si>
  <si>
    <t>FEBUARI 2026</t>
  </si>
  <si>
    <t>show kafir di jam 11.55 sudah hilang sedangkan baru telat 10  mni</t>
  </si>
  <si>
    <t xml:space="preserve">show Alas Roban di jam 13.50 dan Kafir jam 14.10 sudah hilang sedangkan baru telat 16 mnit dan film Kafir baru iklan </t>
  </si>
  <si>
    <t xml:space="preserve">akun POS atas nama Aqila sudah di close by MOD untuk pergantian shift &amp; sudah refresh namun akun tersebut masih muncul di POS </t>
  </si>
  <si>
    <t>Aplikasi POS ga clear cache padahal sudah di close sales usernya</t>
  </si>
  <si>
    <t>- close aplikasi ticketing
- buka explorer arahkan di path C:\Users\POS\AppData\Local\com.mkt.conterticket\EBWebView\Default\Local Storage\leveldb   [show hidden files agar muncul]
- hapus isi file MANIFEST-000001   lalu save
- running applikasi POS lagi untuk cek
- seharusnya POS dalam kondisi belum ter-login</t>
  </si>
  <si>
    <t xml:space="preserve">Inbox pada eM Client tidak Update, dan tidak bisa menerima dan mengirim email </t>
  </si>
  <si>
    <t>Kediri</t>
  </si>
  <si>
    <t>COS tidak bisa dibuka</t>
  </si>
  <si>
    <t xml:space="preserve">Akun a.n Aqila Mauludiyah - 70191225010 tidak dapat log out account dari POS, sudah di lakukan log out manual namun muncul "ask to MOD to closing shift" padahal MOD sudah close shift akun tersebut. </t>
  </si>
  <si>
    <t>Hapus Cache pada Local Disk (C:) -&gt; Users -&gt; POS -&gt; App Data -&gt; Local -&gt; com.mkt.conterticket -&gt; EBWebView</t>
  </si>
  <si>
    <t>Web absen tdk bisa diakses</t>
  </si>
  <si>
    <t>Salah buka url</t>
  </si>
  <si>
    <t>menjelaskan ke tim site bahwa yang di akses itu sedang tidak bisa, jd kita kasih url yang sudah kami siapkan</t>
  </si>
  <si>
    <t>Install app Hik-Connect untuk monitoring CCTV</t>
  </si>
  <si>
    <t>meminta kases untuk mendonwload aplikasi</t>
  </si>
  <si>
    <t>27-02-2026</t>
  </si>
  <si>
    <t>Sales An Aqila tidak muncul nominal dan tidak bisa di close sales</t>
  </si>
  <si>
    <t xml:space="preserve">Disarankan jangan close sales di atas jam 00 karena sales nya akan terkunci </t>
  </si>
  <si>
    <t>tatusnya saat ini terkunci dan akan otomatis di-closing oleh sistem dikarena sudah melewati batas waktu</t>
  </si>
  <si>
    <t xml:space="preserve"> Transfer data finger atas nama Anggi Rizki (CTS)  dari site Kediri ke site Nganjuk. </t>
  </si>
  <si>
    <t xml:space="preserve">Tidak dapat void di COS </t>
  </si>
  <si>
    <t xml:space="preserve">Tidak bisa pakai promo B1G1 </t>
  </si>
  <si>
    <t>Button cek promo tidak muncul/aktif</t>
  </si>
  <si>
    <t xml:space="preserve">POS blank </t>
  </si>
  <si>
    <t xml:space="preserve">overheat beelink </t>
  </si>
  <si>
    <t xml:space="preserve">akun atas nama aqila tidak bisa terclose ganti shift </t>
  </si>
  <si>
    <t>Site</t>
  </si>
  <si>
    <t>Request  Mendaftarkan finger untuk site Indramayu</t>
  </si>
  <si>
    <t xml:space="preserve">Tim MKT mendaftarkan akses finger untuk tim site </t>
  </si>
  <si>
    <t xml:space="preserve">CCTV Outdoor untuk site sams area view FnB </t>
  </si>
  <si>
    <t>Setting cctv FnB</t>
  </si>
  <si>
    <t>22/01/2026</t>
  </si>
  <si>
    <t>Menambahkan akses krusams di site sams ungaranAkses door loker room Sam's Ung.</t>
  </si>
  <si>
    <t>permintaan akses door crew Sam's Subang sbb</t>
  </si>
  <si>
    <t>Daftar finger atas nama Chandra</t>
  </si>
  <si>
    <t>Tim Tech Sams</t>
  </si>
  <si>
    <t xml:space="preserve"> akses untuk menginstall Tools HardwareAgent. Tools ini guna untuk memotoring suhu di PC POS dan STM All site, berkaitan dengan issue hardware yang sering overhea</t>
  </si>
  <si>
    <t>Meminta akses family link</t>
  </si>
  <si>
    <t>Total :</t>
  </si>
  <si>
    <t xml:space="preserve">Email </t>
  </si>
  <si>
    <t xml:space="preserve">Bulan        : Januari 2026 </t>
  </si>
  <si>
    <t>Tanggal     :  1 - 31 Januari 2026</t>
  </si>
  <si>
    <t>APLIKASI</t>
  </si>
  <si>
    <t>HADWARE</t>
  </si>
  <si>
    <t xml:space="preserve">Site </t>
  </si>
  <si>
    <t>Rout Case</t>
  </si>
  <si>
    <t xml:space="preserve">Tidak ada jaringan </t>
  </si>
  <si>
    <t>Tidak bisa login di POS</t>
  </si>
  <si>
    <t>Printer tidak bisa ngeprint</t>
  </si>
  <si>
    <r>
      <rPr/>
      <t xml:space="preserve">Schedule tidak bisa pilih kota
Troubleshoot yang sudah dilakukan : restart TV, Clear cache &amp; data, di test dengan 2 LCD TV tidak bisa semuanya, 
Cek web </t>
    </r>
    <r>
      <rPr>
        <color rgb="FF1155CC"/>
        <u/>
      </rPr>
      <t>http://schedule.sams.id</t>
    </r>
  </si>
  <si>
    <t>"Memandu PIC untuk restart LCD Tersebut lalu buka URL Schedule Kembali dan hasilnya amsih belum bisa klik kota
Memandu PIC untuk melakukan Clear Cache &amp; Clear Data pada browser tersebut dan hasilnya belum solved
Menyarankan PIC untuk download another APP BROWSER dan membuka Link URL schedule di browser baru tersebut dan hasil nya SOLVED"</t>
  </si>
  <si>
    <t>Tampilan arah ke customer di pos 102 tiba-tiba bermasalah.</t>
  </si>
  <si>
    <t xml:space="preserve">aplikasi WPS logout akun tidak bisa digunakan </t>
  </si>
  <si>
    <t xml:space="preserve">Cibadak </t>
  </si>
  <si>
    <t>"terkait schedule yang ga bisa di buka di beberapa site 
saya menemukan di log bahwa endpoint di BE (ENV) tidak terbaca 
hal yang dilakukan untuk perbaikan adalah dengan harcode url be (sementara) dari server side vite dan update stack vite"</t>
  </si>
  <si>
    <t xml:space="preserve">Global </t>
  </si>
  <si>
    <t>Maintenance server Biznet</t>
  </si>
  <si>
    <t xml:space="preserve">Jalur </t>
  </si>
  <si>
    <t xml:space="preserve">Ungaran </t>
  </si>
  <si>
    <t>Tidak dapat copy film ataupun create folder baru, storage ungaran di tms tidak terbaca</t>
  </si>
  <si>
    <t>tidak ada acces internet</t>
  </si>
  <si>
    <t xml:space="preserve">Klaten </t>
  </si>
  <si>
    <t>" tidak bisa masuk ke web   schedule movie
Troubleshoot yang sudah dilakukan : Restart LCD &amp; Clear cache"</t>
  </si>
  <si>
    <t xml:space="preserve">Pekalongan </t>
  </si>
  <si>
    <t xml:space="preserve"> tidak bisa menggunakan Kode Promo B1G1 Malam 3 Yasinan, saat check promo muncul notif tersebut, masukin voucher secara manual pos mental jd pilih kursi l</t>
  </si>
  <si>
    <t xml:space="preserve">Pemalang </t>
  </si>
  <si>
    <t xml:space="preserve">Kebumen </t>
  </si>
  <si>
    <t>" Saat mengecek report sales loading lama dan tidak muncul nominal sales</t>
  </si>
  <si>
    <t>SALES</t>
  </si>
  <si>
    <t>"schedule tidak bisa pilih kota
Troubleshoot yang sudah dilakukan : restart TV, Clear cache &amp; data, di test dengan 2 LCD TV tidak bisa semuanya, 
Cek web http://schedule.sams.id di pc office juga tidak bisa pilih kota"</t>
  </si>
  <si>
    <t>Pasuruan</t>
  </si>
  <si>
    <t>Input tiket terlewat</t>
  </si>
  <si>
    <t xml:space="preserve">Input Tambahan Tiket Event Nobar Cyberbulying </t>
  </si>
  <si>
    <t>Tidak bisa login pos</t>
  </si>
  <si>
    <t xml:space="preserve">Total </t>
  </si>
  <si>
    <t xml:space="preserve">Bulan         : Febuari  2026 </t>
  </si>
  <si>
    <t>Tanggal      :  1 - 29 Febuari 2026</t>
  </si>
  <si>
    <t>Tangga</t>
  </si>
  <si>
    <t>Penyelesain MKT</t>
  </si>
  <si>
    <t xml:space="preserve">Terjadi kegagalan login pada kru baru dikarenakan akun belum dibuat atau belum diaktivasi di sistem POS. </t>
  </si>
  <si>
    <t xml:space="preserve">dikarenakan membuka web di lcd pada hari baru, browser tersebut ngehasilin cache baru, yang harus nya cache ter update secara otomatis, dalam hal case tersebut cache tidak terupdate secara otomatis sehingga diperlukan "clear cache"secara manual.  </t>
  </si>
  <si>
    <t xml:space="preserve">Jaringan LCD tidak terkoneksi dan terhubung dengan baik sehingga harus memandu CTS untuk melakukan pengecekan terhadap koneksi.. </t>
  </si>
  <si>
    <t>Terjadi duplikasi master data cinema di database sistem POS pada beberapa site (Klaten, Pasuruan, Probolinggo, dan Salatiga). Kondisi ini menyebabkan konflik data saat proses validasi user dan mapping site, sehingga sistem menolak proses login.</t>
  </si>
  <si>
    <r>
      <rPr/>
      <t xml:space="preserve">Schedule tidak bisa pilih kota
Troubleshoot yang sudah dilakukan : restart TV, Clear cache &amp; data, di test dengan 2 LCD TV tidak bisa semuanya, 
Cek web </t>
    </r>
    <r>
      <rPr>
        <color rgb="FF1155CC"/>
        <u/>
      </rPr>
      <t>http://schedule.sams.id</t>
    </r>
  </si>
  <si>
    <t>Terjadi compatibility issue pada sisi client, di mana browser bawaan LCD TV tidak sepenuhnya mendukung script/interaksi UI pada website schedule.sams.id. Akibatnya event klik pada menu kota tidak terbaca, sedangkan saat diakses menggunakan browser alternatif, fungsi berjalan normal.</t>
  </si>
  <si>
    <t>Omded</t>
  </si>
  <si>
    <t>Klaten</t>
  </si>
  <si>
    <t>Website Schedule tidak bisa dibuka karena link yang digunakan tidak tepat dan browser bawaan LCD tidak mendukung website tersebut.</t>
  </si>
  <si>
    <t>Terjadi masalah pada cache dan session website schedule.sams.id yang menyebabkan script UI (pemilihan kota) gagal dijalankan di berbagai perangkat. Pembersihan cache dan data berhasil mengembalikan fungsi aplikasi.</t>
  </si>
  <si>
    <t>Masalah pemilihan kota pada website Schedule terjadi karena ketidakcocokan (compatibility issue) antara website Schedule dengan browser Here yang digunakan di site. Browser tersebut tidak sepenuhnya mendukung proses loading dan eksekusi fitur interaktif pada halaman pemilihan kota, sehingga fungsi tidak berjalan normal. Saat diakses menggunakan browser lain yang lebih kompatibel, website dapat terbuka dan berfungsi dengan normal meskipun sempat terjadi loading.</t>
  </si>
  <si>
    <t>Terjadi kegagalan pemanggilan endpoint Backend akibat konfigurasi environment (ENV) yang tidak terbaca pada frontend berbasis Vite. Akibatnya request data kota tidak berhasil, sehingga UI pemilihan kota tidak berfungsi di seluruh browser.</t>
  </si>
  <si>
    <t>Showtime masih bisa dipunch karena show belum ditutup di sistem akibat tiket yang belum diinput.</t>
  </si>
  <si>
    <t>Crew baru tidak dapat login ke sistem POS karena password yang digunakan tidak sesuai dengan data akun yang terdaftar di sistem. Password awal tidak diketahui atau terjadi kesalahan input pada saat login pertama, sehingga sistem menolak akses.</t>
  </si>
  <si>
    <t>Data POS tidak masuk ke Back Office karena koneksi internet dari Iforte sedang mengalami gangguan.</t>
  </si>
  <si>
    <t>Psuruan</t>
  </si>
  <si>
    <t>Nominal sales tiket tidak muncul karena volume transaksi (transaction load) yang terlalu tinggi, sehingga layanan (service) tidak mampu memproses dan menampilkan data secara optimal. Kondisi ini memerlukan penyesuaian pada sisi service agar dapat menangani beban transaksi dengan baik.</t>
  </si>
  <si>
    <t>Crew tidak dapat login ke sistem POS karena terdapat konfigurasi data cinema yang tidak valid (null) pada akun crew. Akun terdaftar ke tiga cinema, dan salah satu data cinema bernilai null sehingga proses validasi login gagal. Setelah data cinema yang tidak valid dihapus, login berhasil.</t>
  </si>
  <si>
    <t>Website COS tidak dapat diakses karena URL yang digunakan tidak sesuai, sehingga sistem gagal memuat halaman yang dituju. Setelah diberikan URL yang benar, website dapat diakses dengan normal.</t>
  </si>
  <si>
    <t>Salah buka URL dan diberikan URL yang benar</t>
  </si>
  <si>
    <t>Akses finger print CL atas nama Zaza tidak dapat digunakan karena perangkat finger print mengalami gangguan akibat terkena air (kehujanan), sehingga sensor tidak dapat membaca sidik jari dengan baik. Kondisi ini menyebabkan data sidik jari tidak terbaca hingga dilakukan proses recollect ulang.</t>
  </si>
  <si>
    <t>Tampilan arah ke customer pada POS 102 mengalami gangguan karena terjadi kerusakan hardware pada monitor POS. Berdasarkan hasil pengecekan melalui video call dan remote, kerusakan diduga kuat disebabkan oleh overheat akibat paparan panas dan sinar matahari langsung ke monitor, sehingga panel monitor mengalami kerusakan dan tidak dapat berfungsi dengan normal.</t>
  </si>
  <si>
    <t>Device CCTV FNB (CXTB FNB) belum terdaftar / belum ditambahkan pada konfigurasi aplikasi iVMS di PC Office SLG, sehingga belum dapat dimonitor sebelum dilakukan penambahan secara manual oleh tim MKT.</t>
  </si>
  <si>
    <t>Semua device tidak terkoneksi karena UPS server bermasalah sehingga jaringan sempat terganggu.</t>
  </si>
  <si>
    <r>
      <t xml:space="preserve">UPS nyas rusak atau error
ketika listrik up tim site by pass pada kelistikan ( tidak mengunakan ups karena praduga upsnya error ) ketika listrik sudah up pc office belum bisa tercokenksi jaringan internet, lalu praduga tim mkt pc office mnegalami penyesuaian sistem karena sebelumnya terjadi error di server . tim mkt meynarankan restar pc office tersebut, dan akhirnya pc office terkoneksi kembali.   </t>
    </r>
    <r>
      <rPr>
        <rFont val="Arial"/>
        <b/>
        <color theme="1"/>
      </rPr>
      <t>update dari CTS Firman UPS server sedang di service, sementara pinjam spare dari PKL. all device di rak server PML kembali normal</t>
    </r>
  </si>
  <si>
    <t xml:space="preserve"> aplikasi WPS logout akun tidak bisa digunakan </t>
  </si>
  <si>
    <t>Storage TMS ter-mount sebagai read-only sehingga tidak bisa write data.</t>
  </si>
  <si>
    <t>roses copy film dan pembuatan folder baru tidak dapat dilakukan karena mapping drive storage Ungaran pada PC TMS terhapus/hilang, sehingga sistem tidak dapat mengakses storage yang dituju</t>
  </si>
  <si>
    <t>Printer Office mengalami Error E3 karena terdapat benda asing (karet) yang tersangkut di dalam printer, sehingga mekanisme penarikan kertas tidak dapat berjalan dengan normal dan memicu error pada perangkat.</t>
  </si>
  <si>
    <t>Terjadi kondensasi uap air (embun) pada perangkat CCTV akibat perbedaan suhu dan kelembapan lingkungan di area pintu masuk, sehingga menyebabkan bagian dalam kamera lembap dan mengganggu fungsi perangkat.</t>
  </si>
  <si>
    <t>Tim CTS diarahkan untuk melakukan pembongkaran perangkat yang mengalami embun atau kondisi basah. Proses pembongkaran dilakukan dengan mengikuti video tutorial yang telah dibuat oleh tim MKT. Setelah perangkat dipastikan benar-benar kering, tim MKT mengarahkan tim CTS melalui video call untuk melakukan pemasangan kembali sesuai dengan posisi semula. Selanjutnya, tim MKT melakukan pengecekan melalui web monitoring dan memastikan bahwa CCTV telah kembali berfungsi normal.</t>
  </si>
  <si>
    <t>Terjadi human error, yaitu kabel printer terpasang tidak dengan baik (kendor) sehingga menyebabkan proses pencetakan tiket online tidak berjalan sempurna.</t>
  </si>
  <si>
    <t>dilakukan pengecekan berkala ternyata kabelnya kendor</t>
  </si>
  <si>
    <t>Printer FNB01 tidak dapat mencetak struk karena kabel koneksi printer dalam kondisi kendor, sehingga koneksi antara printer dan sistem POS tidak stabil dan proses cetak gagal.</t>
  </si>
  <si>
    <t xml:space="preserve">setelah di cek ternyata kebal nya hanya kendor </t>
  </si>
  <si>
    <t>pembuatan finger print crew untuk akses ke loker</t>
  </si>
  <si>
    <t>Data PC office tidak masuk ke Back Office karena koneksi internet dari Iforte sedang mengalami gangguan.</t>
  </si>
  <si>
    <t>Internet tidak bisa digunakan karena perangkat Wi-Fi (AP) dalam kondisi mati.</t>
  </si>
  <si>
    <t>Tampilan POS menjadi blank putih dan poster film tidak muncul karena koneksi internet tidak stabil/terputus, sehingga sistem gagal memuat konten dan data yang dibutuhkan dari server.</t>
  </si>
  <si>
    <t>Website COS tidak dapat diakses karena sedang dilakukan maintenance pada server Biznet, sehingga layanan sementara tidak tersedia.</t>
  </si>
  <si>
    <t>Pemalang'</t>
  </si>
  <si>
    <t>Aplikasi Runchise tidak dapat dibuka karena fitur Smart App Control (SAC) pada Windows 11 aktif secara otomatis. Aktivasi SAC terjadi saat sistem Windows masuk ke mode evaluasi, sehingga aplikasi pihak ketiga yang belum sepenuhnya dikenali dianggap tidak aman dan diblokir oleh sistem operasi.</t>
  </si>
  <si>
    <t>update windows Smart App Control (SAC) di Windows 11 aktif sendiri biasanya karena sistem masuk ke mode evaluasi, di mana Windows mempelajari perilaku aplikasi dan mengaktifkannya secara otomatis jika dianggap aman.</t>
  </si>
  <si>
    <t>Website cos.sams.id tidak dapat diakses sementara website lain dapat diakses dengan normal karena sedang dilakukan maintenance pada server Biznet yang menangani layanan COS. Kondisi ini menyebabkan layanan COS tidak tersedia selama proses maintenance berlangsung.</t>
  </si>
  <si>
    <t>Proses absensi tidak dapat dilakukan karena data GPS pada perangkat tidak valid, sehingga sistem mendeteksi posisi berada di luar batas (radius) site. Setelah dilakukan kalibrasi ulang GPS, data lokasi kembali akurat dan absensi dapat dilakukan.</t>
  </si>
  <si>
    <t>Voucher tidak dapat diinput karena status voucher di database belum aktif, sehingga sistem menolak penggunaan voucher tersebut pada saat transaksi.</t>
  </si>
  <si>
    <t>Voucher tidak dapat diinput karena pengaturan hari berlaku voucher tidak sesuai, di mana voucher hanya aktif pada hari tertentu (Senin/Minggu dengan index 0). Akibatnya, sistem menolak penggunaan voucher di luar hari yang ditentukan. Setelah pengaturan diubah menjadi all day, voucher dapat digunakan dengan normal.</t>
  </si>
  <si>
    <t>Kode Promo B1G1 Malam 3 Yasinan tidak dapat digunakan karena kuota voucher telah habis, sehingga sistem menampilkan notifikasi penolakan saat pengecekan promo. Ketika voucher dimasukkan secara manual melalui POS, sistem tidak dapat memproses promo dan menyebabkan alur pemilihan kursi menjadi tidak normal.</t>
  </si>
  <si>
    <t xml:space="preserve">dilakukian pengecekan oleh tim mkit untuk vocher yg tidak bisa, setelah di cek ternyata voucher sudah bhabis, tetapi massage di POS tidak ada, maka dari BE harus menambahkan massega voucher sudah habis. </t>
  </si>
  <si>
    <t>TIm Dev</t>
  </si>
  <si>
    <t>Button promo B1G1 tidak muncul dan voucher terdeteksi expired karena aplikasi Counter Ticket mengalami error/bug sementara akibat session aplikasi yang tidak tersinkron dengan baik. Kondisi ini menyebabkan data promo tidak ter-refresh dengan benar hingga aplikasi ditutup dan dibuka kembali (relogin).</t>
  </si>
  <si>
    <t>Harga Promo B1G1 Buto Ijo masih tertera Rp30.000 karena harga promo pada master data belum diperbarui oleh HQ SAMS sesuai ketentuan terbaru. Akibatnya, sistem menampilkan harga lama hingga dilakukan pembaruan harga oleh tim Mkt menjadi Rp35.000.</t>
  </si>
  <si>
    <t>membantu mengubah harga dari 30.000 ke 35.000 oleh tim MKT</t>
  </si>
  <si>
    <t>Probilinggo</t>
  </si>
  <si>
    <t>Promo B1G1 di Web hanya terpotong 2% karena pengaturan nilai diskon pada master voucher tidak sesuai, di mana saat pembuatan voucher di HQ SAMS, nilai diskon yang diinput hanya 2% dan bukan 50%. Akibatnya, sistem menerapkan potongan sesuai nilai yang tersimpan</t>
  </si>
  <si>
    <t xml:space="preserve">saat membuat master voucher user membuat hanya 2% bukan  50%  (HQ sams ) dan sudah di ubah oleh MKT menjadi 50% </t>
  </si>
  <si>
    <t>Total Case</t>
  </si>
  <si>
    <t>FEBUAARI 2026</t>
  </si>
  <si>
    <t>Tanggal</t>
  </si>
  <si>
    <t>Device</t>
  </si>
  <si>
    <t>Qty</t>
  </si>
  <si>
    <t>Cctv Outdoor</t>
  </si>
  <si>
    <t>kebumen</t>
  </si>
  <si>
    <t>Cctv Indoor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</si>
</sst>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dd-yyyy"/>
    <numFmt numFmtId="166" formatCode="mm/dd/yyyy"/>
    <numFmt numFmtId="167" formatCode="yyyy-mm-dd"/>
    <numFmt numFmtId="168" formatCode="M/d/yyyy"/>
  </numFmts>
  <fonts count="23">
    <font>
      <sz val="10.0"/>
      <color rgb="FF000000"/>
      <name val="Arial"/>
      <scheme val="minor"/>
    </font>
    <font>
      <sz val="20.0"/>
      <color theme="1"/>
      <name val="Roboto"/>
    </font>
    <font>
      <color theme="1"/>
      <name val="Roboto"/>
    </font>
    <font>
      <color theme="1"/>
      <name val="Arial"/>
      <scheme val="minor"/>
    </font>
    <font>
      <sz val="11.0"/>
      <color rgb="FF444746"/>
      <name val="&quot;Google Sans&quot;"/>
    </font>
    <font>
      <u/>
      <color rgb="FF0000FF"/>
      <name val="Roboto"/>
    </font>
    <font>
      <sz val="11.0"/>
      <color theme="1"/>
      <name val="Arial"/>
    </font>
    <font>
      <sz val="20.0"/>
      <color theme="1"/>
      <name val="Arial"/>
      <scheme val="minor"/>
    </font>
    <font>
      <sz val="11.0"/>
      <color theme="1"/>
      <name val="Arial"/>
      <scheme val="minor"/>
    </font>
    <font>
      <u/>
      <color rgb="FF0000FF"/>
    </font>
    <font>
      <sz val="11.0"/>
      <color theme="1"/>
      <name val="Aptos Narrow"/>
    </font>
    <font>
      <sz val="10.0"/>
      <color theme="1"/>
      <name val="Arial"/>
    </font>
    <font>
      <sz val="22.0"/>
      <color theme="1"/>
      <name val="Arial"/>
      <scheme val="minor"/>
    </font>
    <font>
      <sz val="23.0"/>
      <color theme="1"/>
      <name val="Arial"/>
      <scheme val="minor"/>
    </font>
    <font>
      <sz val="11.0"/>
      <color rgb="FF2C363A"/>
      <name val="Arial"/>
    </font>
    <font>
      <sz val="16.0"/>
      <color theme="1"/>
      <name val="Arial"/>
      <scheme val="minor"/>
    </font>
    <font>
      <sz val="10.0"/>
      <color theme="1"/>
      <name val="Arial"/>
      <scheme val="minor"/>
    </font>
    <font>
      <sz val="13.0"/>
      <color theme="1"/>
      <name val="Arial"/>
      <scheme val="minor"/>
    </font>
    <font>
      <sz val="21.0"/>
      <color theme="1"/>
      <name val="Arial"/>
      <scheme val="minor"/>
    </font>
    <font>
      <sz val="19.0"/>
      <color theme="1"/>
      <name val="Arial"/>
      <scheme val="minor"/>
    </font>
    <font>
      <u/>
      <color rgb="FF0000FF"/>
    </font>
    <font>
      <sz val="15.0"/>
      <color theme="1"/>
      <name val="Arial"/>
      <scheme val="minor"/>
    </font>
    <font>
      <u/>
      <color rgb="FF0000FF"/>
    </font>
  </fonts>
  <fills count="8">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s>
  <borders count="4">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horizontal="center" readingOrder="0" shrinkToFit="0" wrapText="0"/>
    </xf>
    <xf borderId="0" fillId="0" fontId="3" numFmtId="0" xfId="0" applyAlignment="1" applyFont="1">
      <alignment horizontal="center"/>
    </xf>
    <xf borderId="0" fillId="0" fontId="2" numFmtId="0" xfId="0" applyAlignment="1" applyFont="1">
      <alignment horizontal="center" readingOrder="0" shrinkToFit="0" wrapText="1"/>
    </xf>
    <xf borderId="0" fillId="0" fontId="2" numFmtId="49" xfId="0" applyAlignment="1" applyFont="1" applyNumberFormat="1">
      <alignment horizontal="center" readingOrder="0" shrinkToFit="0"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0"/>
    </xf>
    <xf borderId="0" fillId="0" fontId="3" numFmtId="0" xfId="0" applyAlignment="1" applyFont="1">
      <alignment readingOrder="0" shrinkToFit="0" vertical="center" wrapText="0"/>
    </xf>
    <xf borderId="1" fillId="0" fontId="3" numFmtId="164" xfId="0" applyAlignment="1" applyBorder="1" applyFont="1" applyNumberFormat="1">
      <alignment readingOrder="0" shrinkToFit="0" vertical="center" wrapText="0"/>
    </xf>
    <xf borderId="1" fillId="0" fontId="3" numFmtId="20"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0"/>
    </xf>
    <xf borderId="1" fillId="0" fontId="3" numFmtId="49" xfId="0" applyAlignment="1" applyBorder="1" applyFont="1" applyNumberFormat="1">
      <alignment shrinkToFit="0" vertical="center" wrapText="0"/>
    </xf>
    <xf borderId="1" fillId="0" fontId="3" numFmtId="165" xfId="0" applyAlignment="1" applyBorder="1" applyFont="1" applyNumberFormat="1">
      <alignment readingOrder="0" shrinkToFit="0" vertical="center" wrapText="0"/>
    </xf>
    <xf borderId="1" fillId="2" fontId="4" numFmtId="0" xfId="0" applyAlignment="1" applyBorder="1" applyFill="1" applyFont="1">
      <alignment horizontal="left" readingOrder="0" shrinkToFit="0" vertical="center" wrapText="1"/>
    </xf>
    <xf borderId="1" fillId="0" fontId="3" numFmtId="20" xfId="0" applyAlignment="1" applyBorder="1" applyFont="1" applyNumberFormat="1">
      <alignment shrinkToFit="0" vertical="center" wrapText="0"/>
    </xf>
    <xf borderId="1" fillId="0" fontId="5" numFmtId="0" xfId="0" applyAlignment="1" applyBorder="1" applyFont="1">
      <alignment readingOrder="0" shrinkToFit="0" vertical="center" wrapText="1"/>
    </xf>
    <xf borderId="1" fillId="0" fontId="3" numFmtId="49" xfId="0" applyAlignment="1" applyBorder="1" applyFont="1" applyNumberFormat="1">
      <alignment readingOrder="0" shrinkToFit="0" vertical="center" wrapText="0"/>
    </xf>
    <xf borderId="2" fillId="0" fontId="6" numFmtId="0" xfId="0" applyAlignment="1" applyBorder="1" applyFont="1">
      <alignment shrinkToFit="0" vertical="center" wrapText="1"/>
    </xf>
    <xf borderId="0" fillId="0" fontId="7" numFmtId="0" xfId="0" applyAlignment="1" applyFont="1">
      <alignment horizontal="center" readingOrder="0"/>
    </xf>
    <xf borderId="1" fillId="0" fontId="8" numFmtId="0" xfId="0" applyAlignment="1" applyBorder="1" applyFont="1">
      <alignment readingOrder="0"/>
    </xf>
    <xf borderId="1" fillId="0" fontId="8" numFmtId="165" xfId="0" applyAlignment="1" applyBorder="1" applyFont="1" applyNumberFormat="1">
      <alignment readingOrder="0"/>
    </xf>
    <xf borderId="1" fillId="0" fontId="8" numFmtId="20" xfId="0" applyAlignment="1" applyBorder="1" applyFont="1" applyNumberFormat="1">
      <alignment readingOrder="0"/>
    </xf>
    <xf borderId="1" fillId="0" fontId="8" numFmtId="0" xfId="0" applyAlignment="1" applyBorder="1" applyFont="1">
      <alignment readingOrder="0"/>
    </xf>
    <xf borderId="1" fillId="0" fontId="8" numFmtId="0" xfId="0" applyAlignment="1" applyBorder="1" applyFont="1">
      <alignment readingOrder="0" shrinkToFit="0" wrapText="1"/>
    </xf>
    <xf borderId="1" fillId="0" fontId="8" numFmtId="0" xfId="0" applyBorder="1" applyFont="1"/>
    <xf borderId="1" fillId="0" fontId="3" numFmtId="49" xfId="0" applyBorder="1" applyFont="1" applyNumberFormat="1"/>
    <xf borderId="1" fillId="0" fontId="8" numFmtId="0" xfId="0" applyAlignment="1" applyBorder="1" applyFont="1">
      <alignment readingOrder="0"/>
    </xf>
    <xf borderId="1" fillId="0" fontId="8" numFmtId="165" xfId="0" applyAlignment="1" applyBorder="1" applyFont="1" applyNumberFormat="1">
      <alignment readingOrder="0"/>
    </xf>
    <xf borderId="1" fillId="0" fontId="8" numFmtId="20" xfId="0" applyAlignment="1" applyBorder="1" applyFont="1" applyNumberFormat="1">
      <alignment readingOrder="0"/>
    </xf>
    <xf borderId="1" fillId="0" fontId="8" numFmtId="0" xfId="0" applyAlignment="1" applyBorder="1" applyFont="1">
      <alignment readingOrder="0" shrinkToFit="0" wrapText="1"/>
    </xf>
    <xf borderId="1" fillId="0" fontId="8" numFmtId="0" xfId="0" applyBorder="1" applyFont="1"/>
    <xf borderId="1" fillId="0" fontId="3" numFmtId="0" xfId="0" applyBorder="1" applyFont="1"/>
    <xf borderId="1" fillId="0" fontId="3" numFmtId="0" xfId="0" applyAlignment="1" applyBorder="1" applyFont="1">
      <alignment readingOrder="0"/>
    </xf>
    <xf borderId="1" fillId="0" fontId="3" numFmtId="165" xfId="0" applyAlignment="1" applyBorder="1" applyFont="1" applyNumberFormat="1">
      <alignment readingOrder="0"/>
    </xf>
    <xf borderId="1" fillId="0" fontId="3" numFmtId="20" xfId="0" applyAlignment="1" applyBorder="1" applyFont="1" applyNumberFormat="1">
      <alignment readingOrder="0"/>
    </xf>
    <xf borderId="1" fillId="0" fontId="3" numFmtId="0" xfId="0" applyAlignment="1" applyBorder="1" applyFont="1">
      <alignment readingOrder="0" shrinkToFit="0" wrapText="1"/>
    </xf>
    <xf borderId="1" fillId="0" fontId="3" numFmtId="0" xfId="0" applyAlignment="1" applyBorder="1" applyFont="1">
      <alignment readingOrder="0"/>
    </xf>
    <xf borderId="1" fillId="0" fontId="9" numFmtId="0" xfId="0" applyAlignment="1" applyBorder="1" applyFont="1">
      <alignment readingOrder="0"/>
    </xf>
    <xf borderId="2" fillId="0" fontId="6" numFmtId="166" xfId="0" applyAlignment="1" applyBorder="1" applyFont="1" applyNumberFormat="1">
      <alignment horizontal="center"/>
    </xf>
    <xf borderId="2" fillId="0" fontId="10" numFmtId="0" xfId="0" applyAlignment="1" applyBorder="1" applyFont="1">
      <alignment shrinkToFit="0" wrapText="1"/>
    </xf>
    <xf borderId="0" fillId="0" fontId="3" numFmtId="0" xfId="0" applyAlignment="1" applyFont="1">
      <alignment readingOrder="0" shrinkToFit="0" wrapText="1"/>
    </xf>
    <xf borderId="2" fillId="0" fontId="6" numFmtId="0" xfId="0" applyAlignment="1" applyBorder="1" applyFont="1">
      <alignment shrinkToFit="0" wrapText="1"/>
    </xf>
    <xf borderId="0" fillId="0" fontId="6" numFmtId="166" xfId="0" applyAlignment="1" applyFont="1" applyNumberFormat="1">
      <alignment horizontal="center" readingOrder="0" shrinkToFit="0" vertical="center" wrapText="0"/>
    </xf>
    <xf borderId="0" fillId="0" fontId="3" numFmtId="20"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6" numFmtId="0" xfId="0" applyAlignment="1" applyFont="1">
      <alignment readingOrder="0" shrinkToFit="0" vertical="center" wrapText="1"/>
    </xf>
    <xf borderId="1" fillId="0" fontId="3" numFmtId="0" xfId="0" applyAlignment="1" applyBorder="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shrinkToFit="0" vertical="center" wrapText="0"/>
    </xf>
    <xf borderId="0" fillId="0" fontId="3" numFmtId="49" xfId="0" applyAlignment="1" applyFont="1" applyNumberFormat="1">
      <alignment shrinkToFit="0" vertical="center" wrapText="0"/>
    </xf>
    <xf borderId="2" fillId="0" fontId="6" numFmtId="166" xfId="0" applyAlignment="1" applyBorder="1" applyFont="1" applyNumberFormat="1">
      <alignment horizontal="center" readingOrder="0"/>
    </xf>
    <xf borderId="0" fillId="0" fontId="3" numFmtId="20" xfId="0" applyAlignment="1" applyFont="1" applyNumberFormat="1">
      <alignment readingOrder="0"/>
    </xf>
    <xf borderId="0" fillId="0" fontId="8" numFmtId="0" xfId="0" applyAlignment="1" applyFont="1">
      <alignment readingOrder="0"/>
    </xf>
    <xf borderId="0" fillId="0" fontId="3" numFmtId="0" xfId="0" applyAlignment="1" applyFont="1">
      <alignment readingOrder="0"/>
    </xf>
    <xf borderId="0" fillId="0" fontId="6" numFmtId="166" xfId="0" applyAlignment="1" applyFont="1" applyNumberFormat="1">
      <alignment horizontal="center" readingOrder="0"/>
    </xf>
    <xf borderId="1" fillId="0" fontId="3" numFmtId="0" xfId="0" applyAlignment="1" applyBorder="1" applyFont="1">
      <alignment readingOrder="0" shrinkToFit="0" vertical="center" wrapText="0"/>
    </xf>
    <xf borderId="2" fillId="0" fontId="6" numFmtId="0" xfId="0" applyAlignment="1" applyBorder="1" applyFont="1">
      <alignment horizontal="center" shrinkToFit="0" vertical="center" wrapText="0"/>
    </xf>
    <xf borderId="0" fillId="0" fontId="6" numFmtId="0" xfId="0" applyAlignment="1" applyFont="1">
      <alignment readingOrder="0" shrinkToFit="0" vertical="center" wrapText="1"/>
    </xf>
    <xf borderId="1" fillId="0" fontId="6" numFmtId="0" xfId="0" applyAlignment="1" applyBorder="1" applyFont="1">
      <alignment readingOrder="0" shrinkToFit="0" vertical="center" wrapText="1"/>
    </xf>
    <xf borderId="2" fillId="0" fontId="6" numFmtId="0" xfId="0" applyAlignment="1" applyBorder="1" applyFont="1">
      <alignment horizontal="center" readingOrder="0" shrinkToFit="0" vertical="center" wrapText="0"/>
    </xf>
    <xf borderId="2" fillId="0" fontId="10" numFmtId="0" xfId="0" applyAlignment="1" applyBorder="1" applyFont="1">
      <alignment shrinkToFit="0" vertical="center" wrapText="1"/>
    </xf>
    <xf borderId="0" fillId="0" fontId="3" numFmtId="0" xfId="0" applyAlignment="1" applyFont="1">
      <alignment readingOrder="0" shrinkToFit="0" vertical="center" wrapText="0"/>
    </xf>
    <xf borderId="3" fillId="0" fontId="10" numFmtId="0" xfId="0" applyAlignment="1" applyBorder="1" applyFont="1">
      <alignment shrinkToFit="0" vertical="center" wrapText="1"/>
    </xf>
    <xf borderId="1" fillId="0" fontId="11" numFmtId="0" xfId="0" applyAlignment="1" applyBorder="1" applyFont="1">
      <alignment horizontal="center" readingOrder="0" shrinkToFit="0" vertical="center" wrapText="0"/>
    </xf>
    <xf borderId="1" fillId="0" fontId="3" numFmtId="0" xfId="0" applyAlignment="1" applyBorder="1" applyFont="1">
      <alignment shrinkToFit="0" vertical="center" wrapText="0"/>
    </xf>
    <xf borderId="0" fillId="0" fontId="12" numFmtId="0" xfId="0" applyAlignment="1" applyFont="1">
      <alignment horizontal="center" readingOrder="0"/>
    </xf>
    <xf borderId="1" fillId="0" fontId="3" numFmtId="165" xfId="0" applyAlignment="1" applyBorder="1" applyFont="1" applyNumberFormat="1">
      <alignment readingOrder="0"/>
    </xf>
    <xf borderId="1" fillId="0" fontId="3" numFmtId="20" xfId="0" applyAlignment="1" applyBorder="1" applyFont="1" applyNumberFormat="1">
      <alignment readingOrder="0"/>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0" xfId="0" applyBorder="1" applyFont="1"/>
    <xf borderId="1" fillId="0" fontId="3" numFmtId="166" xfId="0" applyAlignment="1" applyBorder="1" applyFont="1" applyNumberFormat="1">
      <alignment readingOrder="0"/>
    </xf>
    <xf borderId="1" fillId="0" fontId="3" numFmtId="0" xfId="0" applyAlignment="1" applyBorder="1" applyFont="1">
      <alignment shrinkToFit="0" wrapText="1"/>
    </xf>
    <xf borderId="3" fillId="0" fontId="6" numFmtId="166" xfId="0" applyAlignment="1" applyBorder="1" applyFont="1" applyNumberFormat="1">
      <alignment horizontal="center" readingOrder="0"/>
    </xf>
    <xf borderId="1" fillId="0" fontId="3" numFmtId="0" xfId="0" applyAlignment="1" applyBorder="1" applyFont="1">
      <alignment readingOrder="0" vertical="top"/>
    </xf>
    <xf borderId="0" fillId="0" fontId="3" numFmtId="0" xfId="0" applyAlignment="1" applyFont="1">
      <alignment readingOrder="0"/>
    </xf>
    <xf borderId="0" fillId="0" fontId="3" numFmtId="166" xfId="0" applyAlignment="1" applyFont="1" applyNumberFormat="1">
      <alignment readingOrder="0"/>
    </xf>
    <xf borderId="0" fillId="0" fontId="3" numFmtId="0" xfId="0" applyAlignment="1" applyFont="1">
      <alignment readingOrder="0" shrinkToFit="0" wrapText="1"/>
    </xf>
    <xf borderId="1" fillId="0" fontId="6" numFmtId="0" xfId="0" applyAlignment="1" applyBorder="1" applyFont="1">
      <alignment shrinkToFit="0" vertical="center" wrapText="1"/>
    </xf>
    <xf borderId="0" fillId="0" fontId="13" numFmtId="0" xfId="0" applyAlignment="1" applyFont="1">
      <alignment horizontal="center" readingOrder="0"/>
    </xf>
    <xf borderId="1" fillId="0" fontId="6" numFmtId="0" xfId="0" applyAlignment="1" applyBorder="1" applyFont="1">
      <alignment readingOrder="0" shrinkToFit="0" vertical="center" wrapText="0"/>
    </xf>
    <xf borderId="1" fillId="0" fontId="6" numFmtId="165" xfId="0" applyAlignment="1" applyBorder="1" applyFont="1" applyNumberFormat="1">
      <alignment readingOrder="0" shrinkToFit="0" vertical="center" wrapText="0"/>
    </xf>
    <xf borderId="1" fillId="0" fontId="6" numFmtId="20" xfId="0" applyAlignment="1" applyBorder="1" applyFont="1" applyNumberFormat="1">
      <alignment readingOrder="0" shrinkToFit="0" vertical="center" wrapText="0"/>
    </xf>
    <xf borderId="1" fillId="0" fontId="6" numFmtId="0" xfId="0" applyAlignment="1" applyBorder="1" applyFont="1">
      <alignment readingOrder="0" shrinkToFit="0" vertical="center" wrapText="0"/>
    </xf>
    <xf borderId="1" fillId="0" fontId="6"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6" numFmtId="0" xfId="0" applyAlignment="1" applyBorder="1" applyFont="1">
      <alignment shrinkToFit="0" vertical="center" wrapText="0"/>
    </xf>
    <xf borderId="1" fillId="0" fontId="6" numFmtId="20" xfId="0" applyAlignment="1" applyBorder="1" applyFont="1" applyNumberFormat="1">
      <alignment shrinkToFit="0" vertical="center" wrapText="0"/>
    </xf>
    <xf borderId="0" fillId="0" fontId="6" numFmtId="0" xfId="0" applyFont="1"/>
    <xf borderId="2" fillId="0" fontId="6" numFmtId="166" xfId="0" applyAlignment="1" applyBorder="1" applyFont="1" applyNumberFormat="1">
      <alignment horizontal="center" shrinkToFit="0" vertical="center" wrapText="0"/>
    </xf>
    <xf borderId="1" fillId="0" fontId="6" numFmtId="0" xfId="0" applyAlignment="1" applyBorder="1" applyFont="1">
      <alignment shrinkToFit="0" vertical="center" wrapText="0"/>
    </xf>
    <xf borderId="1" fillId="0" fontId="6" numFmtId="0" xfId="0" applyAlignment="1" applyBorder="1" applyFont="1">
      <alignment readingOrder="0" shrinkToFit="0" vertical="center" wrapText="0"/>
    </xf>
    <xf borderId="0" fillId="2" fontId="14" numFmtId="0" xfId="0" applyAlignment="1" applyFont="1">
      <alignment horizontal="left" readingOrder="0" shrinkToFit="0" vertical="center" wrapText="0"/>
    </xf>
    <xf borderId="2" fillId="0" fontId="6" numFmtId="166" xfId="0" applyAlignment="1" applyBorder="1" applyFont="1" applyNumberFormat="1">
      <alignment horizontal="center" readingOrder="0" shrinkToFit="0" vertical="center" wrapText="0"/>
    </xf>
    <xf borderId="0" fillId="0" fontId="6" numFmtId="0" xfId="0" applyAlignment="1" applyFont="1">
      <alignment readingOrder="0" shrinkToFit="0" vertical="center" wrapText="0"/>
    </xf>
    <xf borderId="0" fillId="0" fontId="6" numFmtId="20"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20" xfId="0" applyAlignment="1" applyFont="1" applyNumberFormat="1">
      <alignment shrinkToFit="0" vertical="center" wrapText="0"/>
    </xf>
    <xf borderId="0" fillId="0" fontId="6" numFmtId="165" xfId="0" applyAlignment="1" applyFont="1" applyNumberFormat="1">
      <alignment readingOrder="0" shrinkToFit="0" vertical="center" wrapText="0"/>
    </xf>
    <xf borderId="1" fillId="0" fontId="3" numFmtId="166" xfId="0" applyAlignment="1" applyBorder="1" applyFont="1" applyNumberFormat="1">
      <alignment readingOrder="0" shrinkToFit="0" vertical="center" wrapText="0"/>
    </xf>
    <xf borderId="1" fillId="0" fontId="3" numFmtId="167" xfId="0" applyAlignment="1" applyBorder="1" applyFont="1" applyNumberFormat="1">
      <alignmen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readingOrder="0" shrinkToFit="0" vertical="center" wrapText="0"/>
    </xf>
    <xf borderId="0" fillId="0" fontId="15" numFmtId="0" xfId="0" applyAlignment="1" applyFont="1">
      <alignment readingOrder="0"/>
    </xf>
    <xf borderId="0" fillId="0" fontId="16" numFmtId="0" xfId="0" applyAlignment="1" applyFont="1">
      <alignment readingOrder="0"/>
    </xf>
    <xf borderId="0" fillId="0" fontId="16" numFmtId="0" xfId="0" applyFont="1"/>
    <xf borderId="0" fillId="0" fontId="17" numFmtId="0" xfId="0" applyAlignment="1" applyFont="1">
      <alignment horizontal="left" readingOrder="0"/>
    </xf>
    <xf borderId="0" fillId="0" fontId="18" numFmtId="0" xfId="0" applyAlignment="1" applyFont="1">
      <alignment horizontal="center" readingOrder="0"/>
    </xf>
    <xf borderId="0" fillId="0" fontId="18" numFmtId="0" xfId="0" applyAlignment="1" applyFont="1">
      <alignment horizontal="center" readingOrder="0" vertical="center"/>
    </xf>
    <xf borderId="0" fillId="0" fontId="19" numFmtId="0" xfId="0" applyAlignment="1" applyFont="1">
      <alignment horizontal="center" readingOrder="0"/>
    </xf>
    <xf borderId="1" fillId="3" fontId="3" numFmtId="0" xfId="0" applyAlignment="1" applyBorder="1" applyFill="1" applyFont="1">
      <alignment horizontal="center" readingOrder="0"/>
    </xf>
    <xf borderId="1" fillId="4" fontId="3" numFmtId="0" xfId="0" applyAlignment="1" applyBorder="1" applyFill="1" applyFont="1">
      <alignment horizontal="center" readingOrder="0"/>
    </xf>
    <xf borderId="1" fillId="4" fontId="3" numFmtId="0" xfId="0" applyAlignment="1" applyBorder="1" applyFont="1">
      <alignment horizontal="center" readingOrder="0" vertical="center"/>
    </xf>
    <xf borderId="1" fillId="4" fontId="3" numFmtId="0" xfId="0" applyAlignment="1" applyBorder="1" applyFont="1">
      <alignment readingOrder="0"/>
    </xf>
    <xf borderId="1" fillId="5" fontId="3" numFmtId="0" xfId="0" applyAlignment="1" applyBorder="1" applyFill="1" applyFont="1">
      <alignment horizontal="left" readingOrder="0"/>
    </xf>
    <xf borderId="1" fillId="6" fontId="3" numFmtId="0" xfId="0" applyAlignment="1" applyBorder="1" applyFill="1" applyFont="1">
      <alignment readingOrder="0"/>
    </xf>
    <xf borderId="1" fillId="7" fontId="3" numFmtId="0" xfId="0" applyAlignment="1" applyBorder="1" applyFill="1" applyFont="1">
      <alignment readingOrder="0"/>
    </xf>
    <xf borderId="1" fillId="0" fontId="3" numFmtId="0" xfId="0" applyAlignment="1" applyBorder="1" applyFont="1">
      <alignment readingOrder="0" vertical="center"/>
    </xf>
    <xf borderId="1" fillId="0" fontId="3" numFmtId="0" xfId="0" applyAlignment="1" applyBorder="1" applyFont="1">
      <alignment horizontal="left" readingOrder="0" vertical="center"/>
    </xf>
    <xf borderId="1" fillId="0" fontId="3"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3" numFmtId="0" xfId="0" applyAlignment="1" applyBorder="1" applyFont="1">
      <alignment vertical="center"/>
    </xf>
    <xf borderId="0" fillId="0" fontId="3" numFmtId="0" xfId="0" applyAlignment="1" applyFont="1">
      <alignment horizontal="left" readingOrder="0"/>
    </xf>
    <xf borderId="1" fillId="0" fontId="10" numFmtId="0" xfId="0" applyAlignment="1" applyBorder="1" applyFont="1">
      <alignment shrinkToFit="0" wrapText="1"/>
    </xf>
    <xf borderId="0" fillId="0" fontId="21" numFmtId="0" xfId="0" applyAlignment="1" applyFont="1">
      <alignment horizontal="center" readingOrder="0"/>
    </xf>
    <xf borderId="0" fillId="0" fontId="3" numFmtId="0" xfId="0" applyFont="1"/>
    <xf borderId="0" fillId="0" fontId="3" numFmtId="0" xfId="0" applyAlignment="1" applyFont="1">
      <alignment vertical="center"/>
    </xf>
    <xf borderId="0" fillId="0" fontId="2" numFmtId="0" xfId="0" applyAlignment="1" applyFont="1">
      <alignment horizontal="center" readingOrder="0" shrinkToFit="0" wrapText="0"/>
    </xf>
    <xf borderId="1" fillId="0" fontId="3" numFmtId="0" xfId="0" applyAlignment="1" applyBorder="1" applyFont="1">
      <alignment readingOrder="0"/>
    </xf>
    <xf borderId="1" fillId="0" fontId="3" numFmtId="168" xfId="0" applyAlignment="1" applyBorder="1" applyFont="1" applyNumberFormat="1">
      <alignment readingOrder="0"/>
    </xf>
    <xf borderId="1" fillId="0" fontId="3" numFmtId="49" xfId="0" applyBorder="1" applyFont="1" applyNumberFormat="1"/>
    <xf borderId="1" fillId="0" fontId="3" numFmtId="168" xfId="0" applyAlignment="1" applyBorder="1" applyFont="1" applyNumberFormat="1">
      <alignment readingOrder="0"/>
    </xf>
    <xf borderId="1" fillId="0" fontId="22" numFmtId="0" xfId="0" applyAlignment="1" applyBorder="1" applyFont="1">
      <alignment readingOrder="0" shrinkToFit="0" wrapText="1"/>
    </xf>
    <xf borderId="1" fillId="0" fontId="3" numFmtId="49" xfId="0" applyAlignment="1" applyBorder="1" applyFont="1" applyNumberFormat="1">
      <alignment readingOrder="0"/>
    </xf>
    <xf borderId="1" fillId="0" fontId="6" numFmtId="0" xfId="0" applyAlignment="1" applyBorder="1" applyFont="1">
      <alignment shrinkToFit="0" wrapText="1"/>
    </xf>
    <xf borderId="1" fillId="2" fontId="4" numFmtId="0" xfId="0" applyAlignment="1" applyBorder="1" applyFont="1">
      <alignment horizontal="left" readingOrder="0" shrinkToFit="0" wrapText="1"/>
    </xf>
    <xf borderId="1" fillId="0" fontId="6"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1" fillId="0" fontId="3" numFmtId="0" xfId="0" applyBorder="1" applyFont="1"/>
    <xf borderId="0" fillId="0" fontId="3" numFmtId="0" xfId="0" applyAlignment="1" applyFont="1">
      <alignment readingOrder="0"/>
    </xf>
    <xf borderId="0" fillId="0" fontId="3" numFmtId="0" xfId="0" applyFont="1"/>
    <xf borderId="0" fillId="0" fontId="3" numFmtId="0" xfId="0" applyAlignment="1" applyFont="1">
      <alignment readingOrder="0" shrinkToFit="0" wrapText="1"/>
    </xf>
    <xf borderId="0" fillId="0" fontId="3" numFmtId="0" xfId="0" applyAlignment="1" applyFont="1">
      <alignment horizontal="center" readingOrder="0"/>
    </xf>
    <xf borderId="1" fillId="0" fontId="3" numFmtId="167" xfId="0" applyAlignment="1" applyBorder="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5">
    <tableStyle count="4" pivot="0" name="Jawa Barat-style">
      <tableStyleElement dxfId="1" type="headerRow"/>
      <tableStyleElement dxfId="2" type="firstRowStripe"/>
      <tableStyleElement dxfId="3" type="secondRowStripe"/>
      <tableStyleElement dxfId="4" size="0" type="wholeTable"/>
    </tableStyle>
    <tableStyle count="4" pivot="0" name="Jawa Barat-style 2">
      <tableStyleElement dxfId="1" type="headerRow"/>
      <tableStyleElement dxfId="2" type="firstRowStripe"/>
      <tableStyleElement dxfId="3" type="secondRowStripe"/>
      <tableStyleElement dxfId="4" size="0" type="wholeTable"/>
    </tableStyle>
    <tableStyle count="4" pivot="0" name="Jawa Barat-style 3">
      <tableStyleElement dxfId="1" type="headerRow"/>
      <tableStyleElement dxfId="2" type="firstRowStripe"/>
      <tableStyleElement dxfId="3" type="secondRowStripe"/>
      <tableStyleElement dxfId="4" size="0" type="wholeTable"/>
    </tableStyle>
    <tableStyle count="4" pivot="0" name="Jawa Tengah-style">
      <tableStyleElement dxfId="1" type="headerRow"/>
      <tableStyleElement dxfId="2" type="firstRowStripe"/>
      <tableStyleElement dxfId="3" type="secondRowStripe"/>
      <tableStyleElement dxfId="4" size="0" type="wholeTable"/>
    </tableStyle>
    <tableStyle count="4" pivot="0" name="Jawa Tengah-style 2">
      <tableStyleElement dxfId="1" type="headerRow"/>
      <tableStyleElement dxfId="2" type="firstRowStripe"/>
      <tableStyleElement dxfId="3" type="secondRowStripe"/>
      <tableStyleElement dxfId="4" size="0" type="wholeTable"/>
    </tableStyle>
    <tableStyle count="2" pivot="0" name="Jawa Tengah-style 3">
      <tableStyleElement dxfId="3" type="firstRowStripe"/>
      <tableStyleElement dxfId="2" type="secondRowStripe"/>
    </tableStyle>
    <tableStyle count="4" pivot="0" name="Jawa Tengah-style 4">
      <tableStyleElement dxfId="1" type="headerRow"/>
      <tableStyleElement dxfId="2" type="firstRowStripe"/>
      <tableStyleElement dxfId="3" type="secondRowStripe"/>
      <tableStyleElement dxfId="4" size="0" type="wholeTable"/>
    </tableStyle>
    <tableStyle count="4" pivot="0" name="Jawa Timur-style">
      <tableStyleElement dxfId="1" type="headerRow"/>
      <tableStyleElement dxfId="2" type="firstRowStripe"/>
      <tableStyleElement dxfId="3" type="secondRowStripe"/>
      <tableStyleElement dxfId="4" size="0" type="wholeTable"/>
    </tableStyle>
    <tableStyle count="4" pivot="0" name="Jawa Timur-style 2">
      <tableStyleElement dxfId="1" type="headerRow"/>
      <tableStyleElement dxfId="2" type="firstRowStripe"/>
      <tableStyleElement dxfId="3" type="secondRowStripe"/>
      <tableStyleElement dxfId="4" size="0" type="wholeTable"/>
    </tableStyle>
    <tableStyle count="4" pivot="0" name="Email-style">
      <tableStyleElement dxfId="1" type="headerRow"/>
      <tableStyleElement dxfId="2" type="firstRowStripe"/>
      <tableStyleElement dxfId="3" type="secondRowStripe"/>
      <tableStyleElement dxfId="4" size="0" type="wholeTable"/>
    </tableStyle>
    <tableStyle count="2" pivot="0" name="HWAPPNW-style">
      <tableStyleElement dxfId="2" type="firstRowStripe"/>
      <tableStyleElement dxfId="3" type="secondRowStripe"/>
    </tableStyle>
    <tableStyle count="2" pivot="0" name="Sumary -style">
      <tableStyleElement dxfId="2" type="firstRowStripe"/>
      <tableStyleElement dxfId="3" type="secondRowStripe"/>
    </tableStyle>
    <tableStyle count="2" pivot="0" name="Sumary -style 2">
      <tableStyleElement dxfId="2" type="firstRowStripe"/>
      <tableStyleElement dxfId="3" type="secondRowStripe"/>
    </tableStyle>
    <tableStyle count="2" pivot="0" name="Sumary -style 3">
      <tableStyleElement dxfId="2" type="firstRowStripe"/>
      <tableStyleElement dxfId="3" type="secondRowStripe"/>
    </tableStyle>
    <tableStyle count="2" pivot="0" name="Sumary -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HWAPPNW!$A$38:$A$40</c:f>
            </c:strRef>
          </c:cat>
          <c:val>
            <c:numRef>
              <c:f>HWAPPNW!$B$38:$B$40</c:f>
              <c:numCache/>
            </c:numRef>
          </c:val>
        </c:ser>
        <c:axId val="1918003802"/>
        <c:axId val="1757952846"/>
      </c:barChart>
      <c:catAx>
        <c:axId val="19180038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57952846"/>
      </c:catAx>
      <c:valAx>
        <c:axId val="1757952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8003802"/>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3.png"/><Relationship Id="rId3"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40</xdr:row>
      <xdr:rowOff>114300</xdr:rowOff>
    </xdr:from>
    <xdr:ext cx="4876800" cy="3000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22</xdr:row>
      <xdr:rowOff>9525</xdr:rowOff>
    </xdr:from>
    <xdr:ext cx="5715000" cy="3533775"/>
    <xdr:pic>
      <xdr:nvPicPr>
        <xdr:cNvPr id="1968527543"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1</xdr:row>
      <xdr:rowOff>161925</xdr:rowOff>
    </xdr:from>
    <xdr:ext cx="5715000" cy="3533775"/>
    <xdr:pic>
      <xdr:nvPicPr>
        <xdr:cNvPr id="80595691"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333375</xdr:colOff>
      <xdr:row>1</xdr:row>
      <xdr:rowOff>161925</xdr:rowOff>
    </xdr:from>
    <xdr:ext cx="5715000" cy="3533775"/>
    <xdr:pic>
      <xdr:nvPicPr>
        <xdr:cNvPr id="1721244900" name="Chart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O19" displayName="Table1" name="Table1" id="1">
  <tableColumns count="15">
    <tableColumn name="No" id="1"/>
    <tableColumn name="TANGGAL" id="2"/>
    <tableColumn name="Time" id="3"/>
    <tableColumn name="SITE" id="4"/>
    <tableColumn name="Case" id="5"/>
    <tableColumn name="Catagory " id="6"/>
    <tableColumn name="Rout Couse"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showColumnStripes="0" showFirstColumn="1" showLastColumn="1" showRowStripes="1"/>
</table>
</file>

<file path=xl/tables/table2.xml><?xml version="1.0" encoding="utf-8"?>
<table xmlns="http://schemas.openxmlformats.org/spreadsheetml/2006/main" headerRowCount="0" ref="A24:O24" displayName="Table5" name="Table5"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Barat-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48:O49" displayName="Table8" name="Table8" id="3">
  <tableColumns count="15">
    <tableColumn name="No" id="1"/>
    <tableColumn name="TANGGAL" id="2"/>
    <tableColumn name="Time" id="3"/>
    <tableColumn name="SITE" id="4"/>
    <tableColumn name="Case" id="5"/>
    <tableColumn name="Catagory " id="6"/>
    <tableColumn name="Root Couse "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Barat-style 3" showColumnStripes="0" showFirstColumn="1" showLastColumn="1" showRowStripes="1"/>
</table>
</file>

<file path=xl/tables/table4.xml><?xml version="1.0" encoding="utf-8"?>
<table xmlns="http://schemas.openxmlformats.org/spreadsheetml/2006/main" ref="A1:O32" displayName="Table2" name="Table2" id="4">
  <tableColumns count="15">
    <tableColumn name="No" id="1"/>
    <tableColumn name="TANGGAL" id="2"/>
    <tableColumn name="Time" id="3"/>
    <tableColumn name="SITE" id="4"/>
    <tableColumn name="CASE" id="5"/>
    <tableColumn name="Catagory " id="6"/>
    <tableColumn name="Column 15" id="7"/>
    <tableColumn name="TROUBLESHOT MKT" id="8"/>
    <tableColumn name="SOLVER" id="9"/>
    <tableColumn name="Status" id="10"/>
    <tableColumn name="Catagory Case" id="11"/>
    <tableColumn name="Respon at" id="12"/>
    <tableColumn name="Resolved at" id="13"/>
    <tableColumn name="Dampak" id="14"/>
    <tableColumn name="Reason On Hold" id="15"/>
  </tableColumns>
  <tableStyleInfo name="Jawa Tengah-style" showColumnStripes="0" showFirstColumn="1" showLastColumn="1" showRowStripes="1"/>
</table>
</file>

<file path=xl/tables/table5.xml><?xml version="1.0" encoding="utf-8"?>
<table xmlns="http://schemas.openxmlformats.org/spreadsheetml/2006/main" headerRowCount="0" ref="A38:O38" displayName="Table6" name="Table6"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Tengah-style 2"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9:O39" displayName="Table_1" name="Table_1" id="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Tengah-style 3" showColumnStripes="0" showFirstColumn="1" showLastColumn="1" showRowStripes="1"/>
</table>
</file>

<file path=xl/tables/table7.xml><?xml version="1.0" encoding="utf-8"?>
<table xmlns="http://schemas.openxmlformats.org/spreadsheetml/2006/main" headerRowCount="0" ref="A59:O59" displayName="Table9" name="Table9"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wa Tengah-style 4"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1:O14" displayName="Table3" name="Table3" id="8">
  <tableColumns count="15">
    <tableColumn name="No" id="1"/>
    <tableColumn name="TANGGAL" id="2"/>
    <tableColumn name="Time" id="3"/>
    <tableColumn name="SITE" id="4"/>
    <tableColumn name="CASE" id="5"/>
    <tableColumn name="Catagory " id="6"/>
    <tableColumn name="Column 15"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showColumnStripes="0" showFirstColumn="1" showLastColumn="1" showRowStripes="1"/>
</table>
</file>

<file path=xl/tables/table9.xml><?xml version="1.0" encoding="utf-8"?>
<table xmlns="http://schemas.openxmlformats.org/spreadsheetml/2006/main" ref="A20:O50" displayName="Table7" name="Table7" id="9">
  <tableColumns count="15">
    <tableColumn name="No" id="1"/>
    <tableColumn name="TANGGAL" id="2"/>
    <tableColumn name="Time" id="3"/>
    <tableColumn name="SITE" id="4"/>
    <tableColumn name="CASE" id="5"/>
    <tableColumn name="Catagory " id="6"/>
    <tableColumn name="Root Couse" id="7"/>
    <tableColumn name="TROUBLESHOT SITE" id="8"/>
    <tableColumn name="SOLVER" id="9"/>
    <tableColumn name="Status" id="10"/>
    <tableColumn name="Catagory Case" id="11"/>
    <tableColumn name="Respon at" id="12"/>
    <tableColumn name="Resolved at" id="13"/>
    <tableColumn name="Dampak" id="14"/>
    <tableColumn name="Reason On Hold" id="15"/>
  </tableColumns>
  <tableStyleInfo name="Jawa Timur-style 2" showColumnStripes="0" showFirstColumn="1" showLastColumn="1" showRowStripes="1"/>
</table>
</file>

<file path=xl/tables/table10.xml><?xml version="1.0" encoding="utf-8"?>
<table xmlns="http://schemas.openxmlformats.org/spreadsheetml/2006/main" ref="A1:K17" displayName="Table4" name="Table4" id="10">
  <tableColumns count="11">
    <tableColumn name="No" id="1"/>
    <tableColumn name="TANGGAL" id="2"/>
    <tableColumn name="Site" id="3"/>
    <tableColumn name="Case" id="4"/>
    <tableColumn name="TROUBLESHOT MKT" id="5"/>
    <tableColumn name="SOLVER" id="6"/>
    <tableColumn name="Status" id="7"/>
    <tableColumn name="Respon at" id="8"/>
    <tableColumn name="Resolved at" id="9"/>
    <tableColumn name="Dampak" id="10"/>
    <tableColumn name="Reason On Hold" id="11"/>
  </tableColumns>
  <tableStyleInfo name="Email-style" showColumnStripes="0" showFirstColumn="1" showLastColumn="1" showRowStripes="1"/>
</table>
</file>

<file path=xl/tables/table11.xml><?xml version="1.0" encoding="utf-8"?>
<table xmlns="http://schemas.openxmlformats.org/spreadsheetml/2006/main" headerRowCount="0" ref="G24:G33" displayName="Table_2" name="Table_2" id="11">
  <tableColumns count="1">
    <tableColumn name="Column1" id="1"/>
  </tableColumns>
  <tableStyleInfo name="HWAPPNW-style" showColumnStripes="0" showFirstColumn="1" showLastColumn="1" showRowStripes="1"/>
</table>
</file>

<file path=xl/tables/table12.xml><?xml version="1.0" encoding="utf-8"?>
<table xmlns="http://schemas.openxmlformats.org/spreadsheetml/2006/main" headerRowCount="0" ref="A1:O1" displayName="Table_3" name="Table_3"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showColumnStripes="0" showFirstColumn="1" showLastColumn="1" showRowStripes="1"/>
</table>
</file>

<file path=xl/tables/table13.xml><?xml version="1.0" encoding="utf-8"?>
<table xmlns="http://schemas.openxmlformats.org/spreadsheetml/2006/main" headerRowCount="0" ref="A19:O49" displayName="Table_4" name="Table_4" id="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2" showColumnStripes="0" showFirstColumn="1" showLastColumn="1" showRowStripes="1"/>
</table>
</file>

<file path=xl/tables/table14.xml><?xml version="1.0" encoding="utf-8"?>
<table xmlns="http://schemas.openxmlformats.org/spreadsheetml/2006/main" headerRowCount="0" ref="A50:O62" displayName="Table_5" name="Table_5" id="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3" showColumnStripes="0" showFirstColumn="1" showLastColumn="1" showRowStripes="1"/>
</table>
</file>

<file path=xl/tables/table15.xml><?xml version="1.0" encoding="utf-8"?>
<table xmlns="http://schemas.openxmlformats.org/spreadsheetml/2006/main" headerRowCount="0" ref="A74:O74" displayName="Table_6" name="Table_6" id="1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umary -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edule.sams.id/" TargetMode="External"/><Relationship Id="rId2" Type="http://schemas.openxmlformats.org/officeDocument/2006/relationships/hyperlink" Target="http://cos.sams.id/" TargetMode="External"/><Relationship Id="rId3" Type="http://schemas.openxmlformats.org/officeDocument/2006/relationships/hyperlink" Target="http://schedule.samsstudios.id/" TargetMode="External"/><Relationship Id="rId4" Type="http://schemas.openxmlformats.org/officeDocument/2006/relationships/drawing" Target="../drawings/drawing1.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7.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8.xml"/><Relationship Id="rId5"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hyperlink" Target="http://schedule.sams.id/" TargetMode="External"/><Relationship Id="rId2" Type="http://schemas.openxmlformats.org/officeDocument/2006/relationships/drawing" Target="../drawings/drawing5.xml"/><Relationship Id="rId4"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hedule.sams.id/" TargetMode="External"/><Relationship Id="rId2" Type="http://schemas.openxmlformats.org/officeDocument/2006/relationships/drawing" Target="../drawings/drawing7.xml"/><Relationship Id="rId10" Type="http://schemas.openxmlformats.org/officeDocument/2006/relationships/table" Target="../tables/table15.xml"/><Relationship Id="rId9" Type="http://schemas.openxmlformats.org/officeDocument/2006/relationships/table" Target="../tables/table14.xml"/><Relationship Id="rId7" Type="http://schemas.openxmlformats.org/officeDocument/2006/relationships/table" Target="../tables/table12.xml"/><Relationship Id="rId8"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5" max="5" width="50.75"/>
    <col customWidth="1" min="6" max="6" width="16.0"/>
    <col customWidth="1" min="7" max="7" width="48.13"/>
    <col customWidth="1" min="8" max="8" width="49.88"/>
    <col customWidth="1" min="11" max="11" width="21.5"/>
    <col customWidth="1" min="14" max="14" width="34.88"/>
    <col customWidth="1" min="15" max="15" width="28.13"/>
  </cols>
  <sheetData>
    <row r="1">
      <c r="A1" s="1" t="s">
        <v>0</v>
      </c>
      <c r="O1" s="2"/>
      <c r="P1" s="3"/>
      <c r="Q1" s="3"/>
      <c r="R1" s="3"/>
      <c r="S1" s="3"/>
      <c r="T1" s="3"/>
      <c r="U1" s="3"/>
      <c r="V1" s="3"/>
      <c r="W1" s="3"/>
      <c r="X1" s="3"/>
      <c r="Y1" s="3"/>
      <c r="Z1" s="3"/>
      <c r="AA1" s="3"/>
    </row>
    <row r="2">
      <c r="A2" s="2"/>
      <c r="B2" s="2"/>
      <c r="C2" s="2"/>
      <c r="D2" s="2"/>
      <c r="E2" s="4"/>
      <c r="F2" s="2"/>
      <c r="G2" s="2"/>
      <c r="H2" s="2"/>
      <c r="I2" s="4"/>
      <c r="J2" s="2"/>
      <c r="K2" s="5"/>
      <c r="L2" s="5"/>
      <c r="M2" s="2"/>
      <c r="N2" s="4"/>
      <c r="O2" s="2"/>
      <c r="P2" s="3"/>
      <c r="Q2" s="3"/>
      <c r="R2" s="3"/>
      <c r="S2" s="3"/>
      <c r="T2" s="3"/>
      <c r="U2" s="3"/>
      <c r="V2" s="3"/>
      <c r="W2" s="3"/>
      <c r="X2" s="3"/>
      <c r="Y2" s="3"/>
      <c r="Z2" s="3"/>
      <c r="AA2" s="3"/>
    </row>
    <row r="3" ht="22.5" customHeight="1">
      <c r="A3" s="6" t="s">
        <v>1</v>
      </c>
      <c r="B3" s="6" t="s">
        <v>2</v>
      </c>
      <c r="C3" s="6" t="s">
        <v>3</v>
      </c>
      <c r="D3" s="6" t="s">
        <v>4</v>
      </c>
      <c r="E3" s="7" t="s">
        <v>5</v>
      </c>
      <c r="F3" s="6" t="s">
        <v>6</v>
      </c>
      <c r="G3" s="6" t="s">
        <v>7</v>
      </c>
      <c r="H3" s="6" t="s">
        <v>8</v>
      </c>
      <c r="I3" s="7" t="s">
        <v>9</v>
      </c>
      <c r="J3" s="6" t="s">
        <v>10</v>
      </c>
      <c r="K3" s="8" t="s">
        <v>11</v>
      </c>
      <c r="L3" s="8" t="s">
        <v>12</v>
      </c>
      <c r="M3" s="6" t="s">
        <v>13</v>
      </c>
      <c r="N3" s="7" t="s">
        <v>14</v>
      </c>
      <c r="O3" s="6" t="s">
        <v>15</v>
      </c>
      <c r="P3" s="3"/>
      <c r="Q3" s="3"/>
      <c r="R3" s="3"/>
      <c r="S3" s="3"/>
      <c r="T3" s="3"/>
      <c r="U3" s="3"/>
      <c r="V3" s="3"/>
      <c r="W3" s="3"/>
      <c r="X3" s="3"/>
      <c r="Y3" s="3"/>
      <c r="Z3" s="3"/>
      <c r="AA3" s="3"/>
    </row>
    <row r="4" ht="22.5" customHeight="1">
      <c r="A4" s="9">
        <v>1.0</v>
      </c>
      <c r="B4" s="10">
        <v>46023.0</v>
      </c>
      <c r="C4" s="11">
        <v>0.4708333333333333</v>
      </c>
      <c r="D4" s="12" t="s">
        <v>16</v>
      </c>
      <c r="E4" s="13" t="s">
        <v>17</v>
      </c>
      <c r="F4" s="14" t="s">
        <v>18</v>
      </c>
      <c r="G4" s="13"/>
      <c r="H4" s="13" t="s">
        <v>19</v>
      </c>
      <c r="I4" s="12" t="s">
        <v>20</v>
      </c>
      <c r="J4" s="12" t="s">
        <v>21</v>
      </c>
      <c r="K4" s="12" t="s">
        <v>22</v>
      </c>
      <c r="L4" s="11">
        <v>0.4708333333333333</v>
      </c>
      <c r="M4" s="11">
        <v>0.875</v>
      </c>
      <c r="N4" s="15"/>
      <c r="O4" s="16"/>
    </row>
    <row r="5" ht="22.5" customHeight="1">
      <c r="A5" s="9">
        <v>2.0</v>
      </c>
      <c r="B5" s="17">
        <v>46023.0</v>
      </c>
      <c r="C5" s="11">
        <v>0.5479166666666667</v>
      </c>
      <c r="D5" s="12" t="s">
        <v>23</v>
      </c>
      <c r="E5" s="13" t="s">
        <v>24</v>
      </c>
      <c r="F5" s="14" t="s">
        <v>18</v>
      </c>
      <c r="G5" s="13"/>
      <c r="H5" s="13" t="s">
        <v>25</v>
      </c>
      <c r="I5" s="12" t="s">
        <v>26</v>
      </c>
      <c r="J5" s="12" t="s">
        <v>21</v>
      </c>
      <c r="K5" s="12" t="s">
        <v>22</v>
      </c>
      <c r="L5" s="11">
        <v>0.5486111111111112</v>
      </c>
      <c r="M5" s="15"/>
      <c r="N5" s="13" t="s">
        <v>27</v>
      </c>
      <c r="O5" s="16"/>
    </row>
    <row r="6" ht="22.5" customHeight="1">
      <c r="A6" s="9">
        <v>3.0</v>
      </c>
      <c r="B6" s="17">
        <v>46023.0</v>
      </c>
      <c r="C6" s="11">
        <v>0.5520833333333334</v>
      </c>
      <c r="D6" s="12" t="s">
        <v>23</v>
      </c>
      <c r="E6" s="14" t="s">
        <v>28</v>
      </c>
      <c r="F6" s="14" t="s">
        <v>18</v>
      </c>
      <c r="G6" s="18"/>
      <c r="H6" s="18" t="s">
        <v>29</v>
      </c>
      <c r="I6" s="12" t="s">
        <v>26</v>
      </c>
      <c r="J6" s="12" t="s">
        <v>21</v>
      </c>
      <c r="K6" s="12" t="s">
        <v>30</v>
      </c>
      <c r="L6" s="19"/>
      <c r="M6" s="15"/>
      <c r="N6" s="14" t="s">
        <v>31</v>
      </c>
      <c r="O6" s="14" t="s">
        <v>32</v>
      </c>
    </row>
    <row r="7" ht="22.5" customHeight="1">
      <c r="A7" s="9">
        <v>4.0</v>
      </c>
      <c r="B7" s="17">
        <v>46082.0</v>
      </c>
      <c r="C7" s="11">
        <v>0.6222222222222222</v>
      </c>
      <c r="D7" s="12" t="s">
        <v>33</v>
      </c>
      <c r="E7" s="13" t="s">
        <v>34</v>
      </c>
      <c r="F7" s="14" t="s">
        <v>18</v>
      </c>
      <c r="G7" s="14"/>
      <c r="H7" s="14" t="s">
        <v>35</v>
      </c>
      <c r="I7" s="12" t="s">
        <v>20</v>
      </c>
      <c r="J7" s="12" t="s">
        <v>21</v>
      </c>
      <c r="K7" s="12" t="s">
        <v>22</v>
      </c>
      <c r="L7" s="19"/>
      <c r="M7" s="15"/>
      <c r="N7" s="13" t="s">
        <v>36</v>
      </c>
      <c r="O7" s="16"/>
    </row>
    <row r="8" ht="22.5" customHeight="1">
      <c r="A8" s="9">
        <v>5.0</v>
      </c>
      <c r="B8" s="17">
        <v>46174.0</v>
      </c>
      <c r="C8" s="11">
        <v>0.5701388888888889</v>
      </c>
      <c r="D8" s="12" t="s">
        <v>37</v>
      </c>
      <c r="E8" s="20" t="s">
        <v>38</v>
      </c>
      <c r="F8" s="14" t="s">
        <v>18</v>
      </c>
      <c r="G8" s="14"/>
      <c r="H8" s="14" t="s">
        <v>39</v>
      </c>
      <c r="I8" s="12" t="s">
        <v>40</v>
      </c>
      <c r="J8" s="12" t="s">
        <v>21</v>
      </c>
      <c r="K8" s="12" t="s">
        <v>22</v>
      </c>
      <c r="L8" s="19"/>
      <c r="M8" s="15"/>
      <c r="N8" s="15"/>
      <c r="O8" s="16"/>
    </row>
    <row r="9" ht="22.5" customHeight="1">
      <c r="A9" s="9">
        <v>6.0</v>
      </c>
      <c r="B9" s="17">
        <v>46357.0</v>
      </c>
      <c r="C9" s="11">
        <v>0.4534722222222222</v>
      </c>
      <c r="D9" s="12" t="s">
        <v>41</v>
      </c>
      <c r="E9" s="13" t="s">
        <v>42</v>
      </c>
      <c r="F9" s="14" t="s">
        <v>18</v>
      </c>
      <c r="G9" s="14"/>
      <c r="H9" s="14" t="s">
        <v>43</v>
      </c>
      <c r="I9" s="12" t="s">
        <v>44</v>
      </c>
      <c r="J9" s="12" t="s">
        <v>21</v>
      </c>
      <c r="K9" s="12" t="s">
        <v>22</v>
      </c>
      <c r="L9" s="11">
        <v>0.4444444444444444</v>
      </c>
      <c r="M9" s="11">
        <v>0.46041666666666664</v>
      </c>
      <c r="N9" s="15"/>
      <c r="O9" s="16"/>
    </row>
    <row r="10" ht="22.5" customHeight="1">
      <c r="A10" s="9">
        <v>7.0</v>
      </c>
      <c r="B10" s="10">
        <v>46357.0</v>
      </c>
      <c r="C10" s="11">
        <v>0.5263888888888889</v>
      </c>
      <c r="D10" s="12" t="s">
        <v>45</v>
      </c>
      <c r="E10" s="14" t="s">
        <v>46</v>
      </c>
      <c r="F10" s="14" t="s">
        <v>18</v>
      </c>
      <c r="G10" s="13"/>
      <c r="H10" s="13" t="s">
        <v>47</v>
      </c>
      <c r="I10" s="12" t="s">
        <v>26</v>
      </c>
      <c r="J10" s="12" t="s">
        <v>21</v>
      </c>
      <c r="K10" s="12" t="s">
        <v>30</v>
      </c>
      <c r="L10" s="11">
        <v>0.5277777777777778</v>
      </c>
      <c r="M10" s="11">
        <v>0.5520833333333334</v>
      </c>
      <c r="N10" s="15"/>
      <c r="O10" s="16"/>
    </row>
    <row r="11" ht="22.5" customHeight="1">
      <c r="A11" s="9">
        <v>8.0</v>
      </c>
      <c r="B11" s="13" t="s">
        <v>48</v>
      </c>
      <c r="C11" s="11">
        <v>0.44166666666666665</v>
      </c>
      <c r="D11" s="12" t="s">
        <v>41</v>
      </c>
      <c r="E11" s="14" t="s">
        <v>49</v>
      </c>
      <c r="F11" s="14" t="s">
        <v>18</v>
      </c>
      <c r="G11" s="14"/>
      <c r="H11" s="14" t="s">
        <v>50</v>
      </c>
      <c r="I11" s="12" t="s">
        <v>44</v>
      </c>
      <c r="J11" s="12" t="s">
        <v>21</v>
      </c>
      <c r="K11" s="12" t="s">
        <v>22</v>
      </c>
      <c r="L11" s="11">
        <v>0.44166666666666665</v>
      </c>
      <c r="M11" s="11">
        <v>0.47291666666666665</v>
      </c>
      <c r="N11" s="15"/>
      <c r="O11" s="16"/>
    </row>
    <row r="12" ht="22.5" customHeight="1">
      <c r="A12" s="9">
        <v>9.0</v>
      </c>
      <c r="B12" s="13" t="s">
        <v>51</v>
      </c>
      <c r="C12" s="11">
        <v>0.8847222222222222</v>
      </c>
      <c r="D12" s="12" t="s">
        <v>37</v>
      </c>
      <c r="E12" s="14" t="s">
        <v>52</v>
      </c>
      <c r="F12" s="14" t="s">
        <v>18</v>
      </c>
      <c r="G12" s="13"/>
      <c r="H12" s="13" t="s">
        <v>53</v>
      </c>
      <c r="I12" s="12" t="s">
        <v>40</v>
      </c>
      <c r="J12" s="12" t="s">
        <v>21</v>
      </c>
      <c r="K12" s="12" t="s">
        <v>54</v>
      </c>
      <c r="L12" s="11">
        <v>0.8951388888888889</v>
      </c>
      <c r="M12" s="11">
        <v>0.8993055555555556</v>
      </c>
      <c r="N12" s="15"/>
      <c r="O12" s="16"/>
    </row>
    <row r="13" ht="22.5" customHeight="1">
      <c r="A13" s="9">
        <v>10.0</v>
      </c>
      <c r="B13" s="13" t="s">
        <v>55</v>
      </c>
      <c r="C13" s="11">
        <v>0.8951388888888889</v>
      </c>
      <c r="D13" s="12" t="s">
        <v>37</v>
      </c>
      <c r="E13" s="13" t="s">
        <v>56</v>
      </c>
      <c r="F13" s="14" t="s">
        <v>18</v>
      </c>
      <c r="G13" s="13"/>
      <c r="H13" s="13" t="s">
        <v>53</v>
      </c>
      <c r="I13" s="12" t="s">
        <v>40</v>
      </c>
      <c r="J13" s="12" t="s">
        <v>21</v>
      </c>
      <c r="K13" s="12" t="s">
        <v>22</v>
      </c>
      <c r="L13" s="11">
        <v>0.8958333333333334</v>
      </c>
      <c r="M13" s="11">
        <v>0.9055555555555556</v>
      </c>
      <c r="N13" s="14"/>
      <c r="O13" s="21"/>
    </row>
    <row r="14" ht="22.5" customHeight="1">
      <c r="A14" s="9">
        <v>11.0</v>
      </c>
      <c r="B14" s="13" t="s">
        <v>55</v>
      </c>
      <c r="C14" s="11">
        <v>0.5277777777777778</v>
      </c>
      <c r="D14" s="12" t="s">
        <v>33</v>
      </c>
      <c r="E14" s="14" t="s">
        <v>57</v>
      </c>
      <c r="F14" s="14" t="s">
        <v>18</v>
      </c>
      <c r="G14" s="13"/>
      <c r="H14" s="13" t="s">
        <v>58</v>
      </c>
      <c r="I14" s="12" t="s">
        <v>44</v>
      </c>
      <c r="J14" s="12" t="s">
        <v>21</v>
      </c>
      <c r="K14" s="12" t="s">
        <v>22</v>
      </c>
      <c r="L14" s="11">
        <v>0.5284722222222222</v>
      </c>
      <c r="M14" s="15"/>
      <c r="N14" s="15"/>
      <c r="O14" s="16"/>
    </row>
    <row r="15" ht="22.5" customHeight="1">
      <c r="A15" s="9">
        <v>12.0</v>
      </c>
      <c r="B15" s="13" t="s">
        <v>59</v>
      </c>
      <c r="C15" s="11">
        <v>0.7659722222222223</v>
      </c>
      <c r="D15" s="12" t="s">
        <v>37</v>
      </c>
      <c r="E15" s="14" t="s">
        <v>60</v>
      </c>
      <c r="F15" s="14" t="s">
        <v>18</v>
      </c>
      <c r="G15" s="13"/>
      <c r="H15" s="13" t="s">
        <v>61</v>
      </c>
      <c r="I15" s="12" t="s">
        <v>62</v>
      </c>
      <c r="J15" s="12" t="s">
        <v>21</v>
      </c>
      <c r="K15" s="12" t="s">
        <v>22</v>
      </c>
      <c r="L15" s="11">
        <v>0.7680555555555556</v>
      </c>
      <c r="M15" s="11">
        <v>0.76875</v>
      </c>
      <c r="N15" s="15"/>
      <c r="O15" s="16"/>
    </row>
    <row r="16" ht="22.5" customHeight="1">
      <c r="A16" s="9">
        <v>13.0</v>
      </c>
      <c r="B16" s="13" t="s">
        <v>63</v>
      </c>
      <c r="C16" s="11">
        <v>0.5333333333333333</v>
      </c>
      <c r="D16" s="12" t="s">
        <v>41</v>
      </c>
      <c r="E16" s="14" t="s">
        <v>64</v>
      </c>
      <c r="F16" s="14" t="s">
        <v>18</v>
      </c>
      <c r="G16" s="13"/>
      <c r="H16" s="13" t="s">
        <v>65</v>
      </c>
      <c r="I16" s="12" t="s">
        <v>62</v>
      </c>
      <c r="J16" s="12" t="s">
        <v>21</v>
      </c>
      <c r="K16" s="12" t="s">
        <v>22</v>
      </c>
      <c r="L16" s="11">
        <v>0.5340277777777778</v>
      </c>
      <c r="M16" s="15"/>
      <c r="N16" s="15"/>
      <c r="O16" s="16"/>
    </row>
    <row r="17" ht="22.5" customHeight="1">
      <c r="A17" s="9">
        <v>14.0</v>
      </c>
      <c r="B17" s="13" t="s">
        <v>66</v>
      </c>
      <c r="C17" s="11">
        <v>0.49375</v>
      </c>
      <c r="D17" s="12" t="s">
        <v>33</v>
      </c>
      <c r="E17" s="14" t="s">
        <v>67</v>
      </c>
      <c r="F17" s="14" t="s">
        <v>18</v>
      </c>
      <c r="G17" s="13"/>
      <c r="H17" s="13" t="s">
        <v>68</v>
      </c>
      <c r="I17" s="12" t="s">
        <v>62</v>
      </c>
      <c r="J17" s="12" t="s">
        <v>21</v>
      </c>
      <c r="K17" s="12" t="s">
        <v>22</v>
      </c>
      <c r="L17" s="11">
        <v>0.49444444444444446</v>
      </c>
      <c r="M17" s="11">
        <v>0.8819444444444444</v>
      </c>
      <c r="N17" s="15"/>
      <c r="O17" s="16"/>
    </row>
    <row r="18" ht="22.5" customHeight="1">
      <c r="A18" s="9">
        <v>15.0</v>
      </c>
      <c r="B18" s="13" t="s">
        <v>69</v>
      </c>
      <c r="C18" s="11">
        <v>0.43680555555555556</v>
      </c>
      <c r="D18" s="12" t="s">
        <v>37</v>
      </c>
      <c r="E18" s="22" t="s">
        <v>70</v>
      </c>
      <c r="F18" s="14" t="s">
        <v>18</v>
      </c>
      <c r="G18" s="13"/>
      <c r="H18" s="13" t="s">
        <v>71</v>
      </c>
      <c r="I18" s="12" t="s">
        <v>72</v>
      </c>
      <c r="J18" s="12" t="s">
        <v>21</v>
      </c>
      <c r="K18" s="12" t="s">
        <v>22</v>
      </c>
      <c r="L18" s="11">
        <v>0.4395833333333333</v>
      </c>
      <c r="M18" s="11">
        <v>0.4444444444444444</v>
      </c>
      <c r="N18" s="15"/>
      <c r="O18" s="16"/>
    </row>
    <row r="19" ht="22.5" customHeight="1">
      <c r="A19" s="9">
        <v>16.0</v>
      </c>
      <c r="B19" s="13" t="s">
        <v>73</v>
      </c>
      <c r="C19" s="11">
        <v>0.3680555555555556</v>
      </c>
      <c r="D19" s="12" t="s">
        <v>16</v>
      </c>
      <c r="E19" s="13" t="s">
        <v>74</v>
      </c>
      <c r="F19" s="14" t="s">
        <v>18</v>
      </c>
      <c r="G19" s="13"/>
      <c r="H19" s="13" t="s">
        <v>75</v>
      </c>
      <c r="I19" s="12" t="s">
        <v>44</v>
      </c>
      <c r="J19" s="12" t="s">
        <v>21</v>
      </c>
      <c r="K19" s="12" t="s">
        <v>76</v>
      </c>
      <c r="L19" s="11">
        <v>0.3680555555555556</v>
      </c>
      <c r="M19" s="11">
        <v>0.40208333333333335</v>
      </c>
      <c r="N19" s="15"/>
      <c r="O19" s="16"/>
    </row>
    <row r="21">
      <c r="A21" s="23" t="s">
        <v>77</v>
      </c>
    </row>
    <row r="24" ht="22.5" customHeight="1">
      <c r="A24" s="6" t="s">
        <v>1</v>
      </c>
      <c r="B24" s="6" t="s">
        <v>2</v>
      </c>
      <c r="C24" s="6" t="s">
        <v>3</v>
      </c>
      <c r="D24" s="6" t="s">
        <v>4</v>
      </c>
      <c r="E24" s="7" t="s">
        <v>5</v>
      </c>
      <c r="F24" s="6" t="s">
        <v>6</v>
      </c>
      <c r="G24" s="6" t="s">
        <v>78</v>
      </c>
      <c r="H24" s="6" t="s">
        <v>8</v>
      </c>
      <c r="I24" s="7" t="s">
        <v>9</v>
      </c>
      <c r="J24" s="6" t="s">
        <v>10</v>
      </c>
      <c r="K24" s="8" t="s">
        <v>11</v>
      </c>
      <c r="L24" s="8" t="s">
        <v>12</v>
      </c>
      <c r="M24" s="6" t="s">
        <v>13</v>
      </c>
      <c r="N24" s="7" t="s">
        <v>14</v>
      </c>
      <c r="O24" s="6" t="s">
        <v>15</v>
      </c>
      <c r="P24" s="3"/>
      <c r="Q24" s="3"/>
      <c r="R24" s="3"/>
      <c r="S24" s="3"/>
      <c r="T24" s="3"/>
      <c r="U24" s="3"/>
      <c r="V24" s="3"/>
      <c r="W24" s="3"/>
      <c r="X24" s="3"/>
      <c r="Y24" s="3"/>
      <c r="Z24" s="3"/>
      <c r="AA24" s="3"/>
    </row>
    <row r="25">
      <c r="A25" s="24">
        <v>1.0</v>
      </c>
      <c r="B25" s="25">
        <v>46024.0</v>
      </c>
      <c r="C25" s="26">
        <v>0.7118055555555556</v>
      </c>
      <c r="D25" s="27" t="s">
        <v>33</v>
      </c>
      <c r="E25" s="28" t="s">
        <v>79</v>
      </c>
      <c r="F25" s="28" t="s">
        <v>18</v>
      </c>
      <c r="G25" s="28"/>
      <c r="H25" s="28" t="s">
        <v>80</v>
      </c>
      <c r="I25" s="27" t="s">
        <v>40</v>
      </c>
      <c r="J25" s="27" t="s">
        <v>21</v>
      </c>
      <c r="K25" s="27" t="s">
        <v>81</v>
      </c>
      <c r="L25" s="26">
        <v>0.7125</v>
      </c>
      <c r="M25" s="26">
        <v>0.71875</v>
      </c>
      <c r="N25" s="29"/>
      <c r="O25" s="30"/>
    </row>
    <row r="26">
      <c r="A26" s="31">
        <v>2.0</v>
      </c>
      <c r="B26" s="32">
        <v>46055.0</v>
      </c>
      <c r="C26" s="33">
        <v>0.5034722222222222</v>
      </c>
      <c r="D26" s="27" t="s">
        <v>16</v>
      </c>
      <c r="E26" s="28" t="s">
        <v>82</v>
      </c>
      <c r="F26" s="28" t="s">
        <v>18</v>
      </c>
      <c r="G26" s="34" t="s">
        <v>83</v>
      </c>
      <c r="H26" s="34" t="s">
        <v>84</v>
      </c>
      <c r="I26" s="27" t="s">
        <v>20</v>
      </c>
      <c r="J26" s="27" t="s">
        <v>21</v>
      </c>
      <c r="K26" s="27" t="s">
        <v>22</v>
      </c>
      <c r="L26" s="33">
        <v>0.5041666666666667</v>
      </c>
      <c r="M26" s="33">
        <v>0.5395833333333333</v>
      </c>
      <c r="N26" s="35"/>
      <c r="O26" s="36"/>
    </row>
    <row r="27">
      <c r="A27" s="24">
        <v>3.0</v>
      </c>
      <c r="B27" s="32">
        <v>46055.0</v>
      </c>
      <c r="C27" s="33">
        <v>0.5180555555555556</v>
      </c>
      <c r="D27" s="27" t="s">
        <v>23</v>
      </c>
      <c r="E27" s="34" t="s">
        <v>85</v>
      </c>
      <c r="F27" s="28" t="s">
        <v>18</v>
      </c>
      <c r="G27" s="34" t="s">
        <v>83</v>
      </c>
      <c r="H27" s="34" t="s">
        <v>84</v>
      </c>
      <c r="I27" s="27" t="s">
        <v>20</v>
      </c>
      <c r="J27" s="27" t="s">
        <v>21</v>
      </c>
      <c r="K27" s="27" t="s">
        <v>22</v>
      </c>
      <c r="L27" s="33">
        <v>0.51875</v>
      </c>
      <c r="M27" s="33">
        <v>0.5395833333333333</v>
      </c>
      <c r="N27" s="35"/>
      <c r="O27" s="36"/>
    </row>
    <row r="28">
      <c r="A28" s="37">
        <v>4.0</v>
      </c>
      <c r="B28" s="38">
        <v>46055.0</v>
      </c>
      <c r="C28" s="39">
        <v>0.5881944444444445</v>
      </c>
      <c r="D28" s="27" t="s">
        <v>41</v>
      </c>
      <c r="E28" s="40" t="s">
        <v>86</v>
      </c>
      <c r="F28" s="28" t="s">
        <v>18</v>
      </c>
      <c r="G28" s="34" t="s">
        <v>83</v>
      </c>
      <c r="H28" s="34" t="s">
        <v>84</v>
      </c>
      <c r="I28" s="27" t="s">
        <v>20</v>
      </c>
      <c r="J28" s="27" t="s">
        <v>21</v>
      </c>
      <c r="K28" s="27" t="s">
        <v>22</v>
      </c>
      <c r="L28" s="39">
        <v>0.5888888888888889</v>
      </c>
      <c r="M28" s="39">
        <v>0.5888888888888889</v>
      </c>
      <c r="N28" s="36"/>
      <c r="O28" s="36"/>
    </row>
    <row r="29">
      <c r="A29" s="41">
        <v>5.0</v>
      </c>
      <c r="B29" s="38">
        <v>46055.0</v>
      </c>
      <c r="C29" s="39">
        <v>0.5930555555555556</v>
      </c>
      <c r="D29" s="27" t="s">
        <v>23</v>
      </c>
      <c r="E29" s="37" t="s">
        <v>87</v>
      </c>
      <c r="F29" s="28" t="s">
        <v>18</v>
      </c>
      <c r="G29" s="34" t="s">
        <v>83</v>
      </c>
      <c r="H29" s="34" t="s">
        <v>84</v>
      </c>
      <c r="I29" s="27" t="s">
        <v>20</v>
      </c>
      <c r="J29" s="27" t="s">
        <v>21</v>
      </c>
      <c r="K29" s="27" t="s">
        <v>22</v>
      </c>
      <c r="L29" s="39">
        <v>0.5944444444444444</v>
      </c>
      <c r="M29" s="39">
        <v>0.5993055555555555</v>
      </c>
      <c r="N29" s="36"/>
      <c r="O29" s="36"/>
    </row>
    <row r="30">
      <c r="A30" s="37">
        <v>6.0</v>
      </c>
      <c r="B30" s="38">
        <v>46055.0</v>
      </c>
      <c r="C30" s="39">
        <v>0.7708333333333334</v>
      </c>
      <c r="D30" s="27" t="s">
        <v>33</v>
      </c>
      <c r="E30" s="37" t="s">
        <v>88</v>
      </c>
      <c r="F30" s="28" t="s">
        <v>18</v>
      </c>
      <c r="G30" s="37" t="s">
        <v>89</v>
      </c>
      <c r="H30" s="40" t="s">
        <v>90</v>
      </c>
      <c r="I30" s="27" t="s">
        <v>26</v>
      </c>
      <c r="J30" s="27" t="s">
        <v>21</v>
      </c>
      <c r="K30" s="27" t="s">
        <v>30</v>
      </c>
      <c r="L30" s="39">
        <v>0.7715277777777778</v>
      </c>
      <c r="M30" s="39">
        <v>0.7909722222222222</v>
      </c>
      <c r="N30" s="36"/>
      <c r="O30" s="36"/>
    </row>
    <row r="31">
      <c r="A31" s="41">
        <v>7.0</v>
      </c>
      <c r="B31" s="38">
        <v>46057.0</v>
      </c>
      <c r="C31" s="39">
        <v>0.5590277777777778</v>
      </c>
      <c r="D31" s="27" t="s">
        <v>33</v>
      </c>
      <c r="E31" s="40" t="s">
        <v>91</v>
      </c>
      <c r="F31" s="28" t="s">
        <v>18</v>
      </c>
      <c r="G31" s="31" t="s">
        <v>92</v>
      </c>
      <c r="H31" s="34" t="s">
        <v>93</v>
      </c>
      <c r="I31" s="27" t="s">
        <v>26</v>
      </c>
      <c r="J31" s="27" t="s">
        <v>21</v>
      </c>
      <c r="K31" s="27" t="s">
        <v>30</v>
      </c>
      <c r="L31" s="39">
        <v>0.5590277777777778</v>
      </c>
      <c r="M31" s="39">
        <v>0.5729166666666666</v>
      </c>
      <c r="N31" s="36"/>
      <c r="O31" s="36"/>
    </row>
    <row r="32">
      <c r="A32" s="37">
        <v>8.0</v>
      </c>
      <c r="B32" s="38">
        <v>46059.0</v>
      </c>
      <c r="C32" s="39">
        <v>0.7756944444444445</v>
      </c>
      <c r="D32" s="27" t="s">
        <v>94</v>
      </c>
      <c r="E32" s="42" t="s">
        <v>95</v>
      </c>
      <c r="F32" s="37" t="s">
        <v>18</v>
      </c>
      <c r="G32" s="37" t="s">
        <v>96</v>
      </c>
      <c r="H32" s="37" t="s">
        <v>97</v>
      </c>
      <c r="I32" s="27" t="s">
        <v>40</v>
      </c>
      <c r="J32" s="27" t="s">
        <v>21</v>
      </c>
      <c r="K32" s="27" t="s">
        <v>98</v>
      </c>
      <c r="L32" s="36"/>
      <c r="M32" s="36"/>
      <c r="N32" s="36"/>
      <c r="O32" s="36"/>
    </row>
    <row r="33">
      <c r="A33" s="41">
        <v>9.0</v>
      </c>
      <c r="B33" s="43">
        <v>46064.0</v>
      </c>
      <c r="C33" s="36"/>
      <c r="D33" s="27" t="s">
        <v>16</v>
      </c>
      <c r="E33" s="44" t="s">
        <v>99</v>
      </c>
      <c r="F33" s="37" t="s">
        <v>18</v>
      </c>
      <c r="G33" s="36"/>
      <c r="H33" s="36"/>
      <c r="I33" s="27" t="s">
        <v>20</v>
      </c>
      <c r="J33" s="27" t="s">
        <v>21</v>
      </c>
      <c r="K33" s="27" t="s">
        <v>22</v>
      </c>
      <c r="L33" s="36"/>
      <c r="M33" s="36"/>
      <c r="N33" s="36"/>
      <c r="O33" s="36"/>
    </row>
    <row r="34">
      <c r="A34" s="37">
        <v>10.0</v>
      </c>
      <c r="B34" s="43">
        <v>46066.0</v>
      </c>
      <c r="C34" s="39">
        <v>0.36666666666666664</v>
      </c>
      <c r="D34" s="27" t="s">
        <v>33</v>
      </c>
      <c r="E34" s="44" t="s">
        <v>100</v>
      </c>
      <c r="F34" s="37" t="s">
        <v>18</v>
      </c>
      <c r="G34" s="31" t="s">
        <v>101</v>
      </c>
      <c r="H34" s="45" t="s">
        <v>102</v>
      </c>
      <c r="I34" s="27" t="s">
        <v>103</v>
      </c>
      <c r="J34" s="27" t="s">
        <v>21</v>
      </c>
      <c r="K34" s="27" t="s">
        <v>81</v>
      </c>
      <c r="L34" s="39">
        <v>0.36666666666666664</v>
      </c>
      <c r="M34" s="39">
        <v>0.44305555555555554</v>
      </c>
      <c r="N34" s="36"/>
      <c r="O34" s="36"/>
    </row>
    <row r="35">
      <c r="A35" s="41">
        <v>11.0</v>
      </c>
      <c r="B35" s="43">
        <v>46073.0</v>
      </c>
      <c r="C35" s="36"/>
      <c r="D35" s="27" t="s">
        <v>37</v>
      </c>
      <c r="E35" s="44" t="s">
        <v>104</v>
      </c>
      <c r="F35" s="37" t="s">
        <v>18</v>
      </c>
      <c r="G35" s="40" t="s">
        <v>105</v>
      </c>
      <c r="H35" s="40" t="s">
        <v>106</v>
      </c>
      <c r="I35" s="27" t="s">
        <v>40</v>
      </c>
      <c r="J35" s="27" t="s">
        <v>21</v>
      </c>
      <c r="K35" s="27" t="s">
        <v>22</v>
      </c>
      <c r="L35" s="36"/>
      <c r="M35" s="36"/>
      <c r="N35" s="36"/>
      <c r="O35" s="36"/>
    </row>
    <row r="36">
      <c r="A36" s="37">
        <v>12.0</v>
      </c>
      <c r="B36" s="43">
        <v>46068.0</v>
      </c>
      <c r="C36" s="36"/>
      <c r="D36" s="27" t="s">
        <v>41</v>
      </c>
      <c r="E36" s="46" t="s">
        <v>107</v>
      </c>
      <c r="F36" s="37" t="s">
        <v>18</v>
      </c>
      <c r="G36" s="36"/>
      <c r="H36" s="31" t="s">
        <v>108</v>
      </c>
      <c r="I36" s="27" t="s">
        <v>40</v>
      </c>
      <c r="J36" s="27" t="s">
        <v>21</v>
      </c>
      <c r="K36" s="27" t="s">
        <v>30</v>
      </c>
      <c r="L36" s="36"/>
      <c r="M36" s="36"/>
      <c r="N36" s="36"/>
      <c r="O36" s="36"/>
    </row>
    <row r="44">
      <c r="B44" s="23" t="s">
        <v>109</v>
      </c>
    </row>
    <row r="48" ht="22.5" customHeight="1">
      <c r="A48" s="6" t="s">
        <v>1</v>
      </c>
      <c r="B48" s="6" t="s">
        <v>2</v>
      </c>
      <c r="C48" s="6" t="s">
        <v>3</v>
      </c>
      <c r="D48" s="6" t="s">
        <v>4</v>
      </c>
      <c r="E48" s="7" t="s">
        <v>5</v>
      </c>
      <c r="F48" s="6" t="s">
        <v>6</v>
      </c>
      <c r="G48" s="6" t="s">
        <v>78</v>
      </c>
      <c r="H48" s="6" t="s">
        <v>8</v>
      </c>
      <c r="I48" s="7" t="s">
        <v>9</v>
      </c>
      <c r="J48" s="6" t="s">
        <v>10</v>
      </c>
      <c r="K48" s="8" t="s">
        <v>11</v>
      </c>
      <c r="L48" s="8" t="s">
        <v>12</v>
      </c>
      <c r="M48" s="6" t="s">
        <v>13</v>
      </c>
      <c r="N48" s="7" t="s">
        <v>14</v>
      </c>
      <c r="O48" s="6" t="s">
        <v>15</v>
      </c>
    </row>
    <row r="49" ht="22.5" customHeight="1">
      <c r="A49" s="9"/>
      <c r="B49" s="47">
        <v>46085.0</v>
      </c>
      <c r="C49" s="48">
        <v>0.5951388888888889</v>
      </c>
      <c r="D49" s="49" t="s">
        <v>41</v>
      </c>
      <c r="E49" s="50" t="s">
        <v>110</v>
      </c>
      <c r="F49" s="51" t="s">
        <v>18</v>
      </c>
      <c r="G49" s="52" t="s">
        <v>111</v>
      </c>
      <c r="H49" s="52" t="s">
        <v>112</v>
      </c>
      <c r="I49" s="49" t="s">
        <v>26</v>
      </c>
      <c r="J49" s="49" t="s">
        <v>21</v>
      </c>
      <c r="K49" s="49" t="s">
        <v>54</v>
      </c>
      <c r="L49" s="48">
        <v>0.5951388888888889</v>
      </c>
      <c r="M49" s="48">
        <v>0.6048611111111111</v>
      </c>
      <c r="N49" s="53"/>
      <c r="O49" s="54"/>
    </row>
    <row r="50">
      <c r="A50" s="41">
        <v>13.0</v>
      </c>
      <c r="B50" s="43">
        <v>46085.0</v>
      </c>
      <c r="C50" s="36"/>
      <c r="D50" s="27" t="s">
        <v>41</v>
      </c>
      <c r="E50" s="44" t="s">
        <v>113</v>
      </c>
      <c r="F50" s="37" t="s">
        <v>18</v>
      </c>
      <c r="G50" s="36"/>
      <c r="H50" s="37" t="s">
        <v>114</v>
      </c>
      <c r="I50" s="27"/>
      <c r="J50" s="27"/>
      <c r="K50" s="27"/>
      <c r="L50" s="36"/>
      <c r="M50" s="36"/>
      <c r="N50" s="36"/>
      <c r="O50" s="36"/>
    </row>
    <row r="51">
      <c r="A51" s="37">
        <v>14.0</v>
      </c>
      <c r="B51" s="43">
        <v>46090.0</v>
      </c>
      <c r="C51" s="36"/>
      <c r="D51" s="27" t="s">
        <v>16</v>
      </c>
      <c r="E51" s="44" t="s">
        <v>115</v>
      </c>
      <c r="F51" s="37" t="s">
        <v>18</v>
      </c>
      <c r="G51" s="36"/>
      <c r="I51" s="27" t="s">
        <v>40</v>
      </c>
      <c r="J51" s="27" t="s">
        <v>21</v>
      </c>
      <c r="K51" s="27" t="s">
        <v>22</v>
      </c>
      <c r="L51" s="36"/>
      <c r="M51" s="36"/>
      <c r="N51" s="36"/>
      <c r="O51" s="36"/>
    </row>
    <row r="52">
      <c r="A52" s="41">
        <v>15.0</v>
      </c>
      <c r="B52" s="55">
        <v>46095.0</v>
      </c>
      <c r="C52" s="39">
        <v>0.5041666666666667</v>
      </c>
      <c r="D52" s="27" t="s">
        <v>94</v>
      </c>
      <c r="E52" s="37" t="s">
        <v>116</v>
      </c>
      <c r="F52" s="37" t="s">
        <v>18</v>
      </c>
      <c r="G52" s="36"/>
      <c r="H52" s="36"/>
      <c r="I52" s="27" t="s">
        <v>20</v>
      </c>
      <c r="J52" s="27" t="s">
        <v>21</v>
      </c>
      <c r="K52" s="27" t="s">
        <v>76</v>
      </c>
      <c r="L52" s="36"/>
      <c r="M52" s="36"/>
      <c r="N52" s="36"/>
      <c r="O52" s="36"/>
    </row>
    <row r="53">
      <c r="A53" s="37"/>
      <c r="B53" s="55">
        <v>46096.0</v>
      </c>
      <c r="C53" s="39">
        <v>0.5416666666666666</v>
      </c>
      <c r="D53" s="27" t="s">
        <v>33</v>
      </c>
      <c r="E53" s="37" t="s">
        <v>117</v>
      </c>
      <c r="F53" s="37" t="s">
        <v>18</v>
      </c>
      <c r="G53" s="36"/>
      <c r="H53" s="37" t="s">
        <v>118</v>
      </c>
      <c r="I53" s="27" t="s">
        <v>26</v>
      </c>
      <c r="J53" s="27" t="s">
        <v>21</v>
      </c>
      <c r="K53" s="27" t="s">
        <v>76</v>
      </c>
      <c r="L53" s="39">
        <v>0.5423611111111111</v>
      </c>
      <c r="M53" s="39">
        <v>0.5569444444444445</v>
      </c>
      <c r="N53" s="36"/>
      <c r="O53" s="36"/>
    </row>
    <row r="54">
      <c r="A54" s="37"/>
      <c r="B54" s="55">
        <v>46096.0</v>
      </c>
      <c r="C54" s="39">
        <v>0.5597222222222222</v>
      </c>
      <c r="D54" s="27" t="s">
        <v>37</v>
      </c>
      <c r="E54" s="37" t="s">
        <v>117</v>
      </c>
      <c r="F54" s="37" t="s">
        <v>18</v>
      </c>
      <c r="G54" s="37" t="s">
        <v>119</v>
      </c>
      <c r="H54" s="37" t="s">
        <v>120</v>
      </c>
      <c r="I54" s="27" t="s">
        <v>26</v>
      </c>
      <c r="J54" s="27" t="s">
        <v>21</v>
      </c>
      <c r="K54" s="27" t="s">
        <v>76</v>
      </c>
      <c r="L54" s="39">
        <v>0.5597222222222222</v>
      </c>
      <c r="M54" s="39">
        <v>0.56875</v>
      </c>
      <c r="N54" s="36"/>
      <c r="O54" s="36"/>
    </row>
    <row r="55">
      <c r="A55" s="37">
        <v>16.0</v>
      </c>
      <c r="B55" s="55">
        <v>46096.0</v>
      </c>
      <c r="C55" s="39">
        <v>0.6263888888888889</v>
      </c>
      <c r="D55" s="27" t="s">
        <v>41</v>
      </c>
      <c r="E55" s="37" t="s">
        <v>121</v>
      </c>
      <c r="F55" s="37" t="s">
        <v>18</v>
      </c>
      <c r="G55" s="36"/>
      <c r="H55" s="42" t="s">
        <v>122</v>
      </c>
      <c r="I55" s="27" t="s">
        <v>26</v>
      </c>
      <c r="J55" s="27" t="s">
        <v>21</v>
      </c>
      <c r="K55" s="27" t="s">
        <v>22</v>
      </c>
      <c r="L55" s="36"/>
      <c r="M55" s="36"/>
      <c r="N55" s="36"/>
      <c r="O55" s="36"/>
    </row>
    <row r="56">
      <c r="A56" s="41">
        <v>17.0</v>
      </c>
      <c r="B56" s="55">
        <v>46099.0</v>
      </c>
      <c r="C56" s="39">
        <v>0.5</v>
      </c>
      <c r="D56" s="27" t="s">
        <v>41</v>
      </c>
      <c r="E56" s="37" t="s">
        <v>123</v>
      </c>
      <c r="F56" s="37" t="s">
        <v>18</v>
      </c>
      <c r="G56" s="36"/>
      <c r="H56" s="36"/>
      <c r="I56" s="27" t="s">
        <v>103</v>
      </c>
      <c r="J56" s="27" t="s">
        <v>21</v>
      </c>
      <c r="K56" s="27" t="s">
        <v>124</v>
      </c>
      <c r="L56" s="39">
        <v>0.5006944444444444</v>
      </c>
      <c r="M56" s="39">
        <v>0.5965277777777778</v>
      </c>
      <c r="N56" s="36"/>
      <c r="O56" s="36"/>
    </row>
    <row r="57">
      <c r="A57" s="36"/>
      <c r="B57" s="55">
        <v>46099.0</v>
      </c>
      <c r="C57" s="39">
        <v>0.5701388888888889</v>
      </c>
      <c r="D57" s="27" t="s">
        <v>41</v>
      </c>
      <c r="E57" s="37" t="s">
        <v>125</v>
      </c>
      <c r="F57" s="37" t="s">
        <v>18</v>
      </c>
      <c r="G57" s="36"/>
      <c r="H57" s="36"/>
      <c r="I57" s="27" t="s">
        <v>20</v>
      </c>
      <c r="J57" s="27" t="s">
        <v>21</v>
      </c>
      <c r="K57" s="27" t="s">
        <v>30</v>
      </c>
      <c r="L57" s="39">
        <v>0.5729166666666666</v>
      </c>
      <c r="M57" s="39">
        <v>0.7590277777777777</v>
      </c>
      <c r="N57" s="36"/>
      <c r="O57" s="36"/>
    </row>
    <row r="58">
      <c r="B58" s="55">
        <v>46100.0</v>
      </c>
      <c r="C58" s="56">
        <v>0.7208333333333333</v>
      </c>
      <c r="D58" s="57" t="s">
        <v>23</v>
      </c>
      <c r="E58" s="58" t="s">
        <v>126</v>
      </c>
      <c r="F58" s="37" t="s">
        <v>18</v>
      </c>
      <c r="H58" s="45" t="s">
        <v>127</v>
      </c>
      <c r="I58" s="57" t="s">
        <v>40</v>
      </c>
      <c r="J58" s="57" t="s">
        <v>21</v>
      </c>
      <c r="K58" s="57" t="s">
        <v>22</v>
      </c>
      <c r="L58" s="56">
        <v>0.7215277777777778</v>
      </c>
      <c r="M58" s="56"/>
    </row>
    <row r="59">
      <c r="B59" s="55">
        <v>46100.0</v>
      </c>
      <c r="C59" s="56">
        <v>0.81875</v>
      </c>
      <c r="D59" s="57" t="s">
        <v>23</v>
      </c>
      <c r="E59" s="58" t="s">
        <v>128</v>
      </c>
      <c r="F59" s="37" t="s">
        <v>18</v>
      </c>
      <c r="I59" s="57" t="s">
        <v>40</v>
      </c>
      <c r="J59" s="57" t="s">
        <v>21</v>
      </c>
      <c r="K59" s="57" t="s">
        <v>22</v>
      </c>
      <c r="L59" s="56"/>
      <c r="M59" s="56"/>
    </row>
    <row r="60">
      <c r="B60" s="55">
        <v>46101.0</v>
      </c>
      <c r="C60" s="56">
        <v>0.6618055555555555</v>
      </c>
      <c r="D60" s="57" t="s">
        <v>37</v>
      </c>
      <c r="E60" s="45" t="s">
        <v>129</v>
      </c>
      <c r="F60" s="37" t="s">
        <v>18</v>
      </c>
      <c r="H60" s="58" t="s">
        <v>130</v>
      </c>
      <c r="I60" s="57" t="s">
        <v>26</v>
      </c>
      <c r="J60" s="57" t="s">
        <v>21</v>
      </c>
      <c r="K60" s="57" t="s">
        <v>22</v>
      </c>
      <c r="L60" s="56">
        <v>0.6625</v>
      </c>
      <c r="M60" s="58" t="s">
        <v>131</v>
      </c>
    </row>
    <row r="61">
      <c r="B61" s="55">
        <v>46101.0</v>
      </c>
      <c r="C61" s="56">
        <v>0.8055555555555556</v>
      </c>
      <c r="D61" s="57" t="s">
        <v>23</v>
      </c>
      <c r="E61" s="58" t="s">
        <v>132</v>
      </c>
      <c r="F61" s="37" t="s">
        <v>18</v>
      </c>
      <c r="I61" s="57" t="s">
        <v>40</v>
      </c>
      <c r="J61" s="57" t="s">
        <v>21</v>
      </c>
      <c r="K61" s="57" t="s">
        <v>22</v>
      </c>
      <c r="L61" s="56">
        <v>0.8055555555555556</v>
      </c>
      <c r="M61" s="56">
        <v>0.8083333333333333</v>
      </c>
    </row>
    <row r="62">
      <c r="B62" s="55">
        <v>46103.0</v>
      </c>
      <c r="C62" s="56">
        <v>0.6798611111111111</v>
      </c>
      <c r="D62" s="57" t="s">
        <v>23</v>
      </c>
      <c r="E62" s="58" t="s">
        <v>133</v>
      </c>
      <c r="F62" s="37" t="s">
        <v>18</v>
      </c>
      <c r="I62" s="57" t="s">
        <v>103</v>
      </c>
      <c r="J62" s="57" t="s">
        <v>21</v>
      </c>
      <c r="K62" s="57"/>
      <c r="L62" s="56">
        <v>0.6798611111111111</v>
      </c>
      <c r="M62" s="56">
        <v>0.6881944444444444</v>
      </c>
    </row>
    <row r="63">
      <c r="B63" s="55">
        <v>46103.0</v>
      </c>
      <c r="C63" s="56">
        <v>0.9729166666666667</v>
      </c>
      <c r="D63" s="57" t="s">
        <v>33</v>
      </c>
      <c r="E63" s="58" t="s">
        <v>134</v>
      </c>
      <c r="F63" s="37" t="s">
        <v>18</v>
      </c>
      <c r="H63" s="45" t="s">
        <v>135</v>
      </c>
      <c r="I63" s="57" t="s">
        <v>136</v>
      </c>
      <c r="J63" s="57" t="s">
        <v>21</v>
      </c>
      <c r="K63" s="57" t="s">
        <v>22</v>
      </c>
      <c r="L63" s="56">
        <v>0.9743055555555555</v>
      </c>
      <c r="M63" s="56">
        <v>0.05486111111111111</v>
      </c>
    </row>
    <row r="64">
      <c r="B64" s="55">
        <v>46104.0</v>
      </c>
      <c r="C64" s="56">
        <v>0.3506944444444444</v>
      </c>
      <c r="D64" s="57" t="s">
        <v>23</v>
      </c>
      <c r="E64" s="58" t="s">
        <v>137</v>
      </c>
      <c r="F64" s="37" t="s">
        <v>18</v>
      </c>
      <c r="I64" s="57" t="s">
        <v>26</v>
      </c>
      <c r="J64" s="57" t="s">
        <v>21</v>
      </c>
      <c r="K64" s="57" t="s">
        <v>22</v>
      </c>
      <c r="L64" s="56">
        <v>0.35138888888888886</v>
      </c>
      <c r="M64" s="56">
        <v>0.35555555555555557</v>
      </c>
    </row>
    <row r="65">
      <c r="B65" s="55">
        <v>46104.0</v>
      </c>
      <c r="C65" s="56">
        <v>0.6590277777777778</v>
      </c>
      <c r="D65" s="57" t="s">
        <v>33</v>
      </c>
      <c r="E65" s="58" t="s">
        <v>138</v>
      </c>
      <c r="F65" s="37" t="s">
        <v>18</v>
      </c>
      <c r="I65" s="57" t="s">
        <v>40</v>
      </c>
      <c r="J65" s="57" t="s">
        <v>21</v>
      </c>
      <c r="K65" s="57" t="s">
        <v>22</v>
      </c>
      <c r="L65" s="56">
        <v>0.6590277777777778</v>
      </c>
      <c r="M65" s="56">
        <v>0.6888888888888889</v>
      </c>
    </row>
    <row r="66">
      <c r="B66" s="55">
        <v>46104.0</v>
      </c>
      <c r="C66" s="56">
        <v>0.8722222222222222</v>
      </c>
      <c r="D66" s="57" t="s">
        <v>23</v>
      </c>
      <c r="E66" s="58" t="s">
        <v>139</v>
      </c>
      <c r="F66" s="37" t="s">
        <v>18</v>
      </c>
      <c r="G66" s="58" t="s">
        <v>140</v>
      </c>
      <c r="H66" s="45" t="s">
        <v>141</v>
      </c>
      <c r="I66" s="57" t="s">
        <v>40</v>
      </c>
      <c r="J66" s="57" t="s">
        <v>21</v>
      </c>
      <c r="K66" s="57" t="s">
        <v>22</v>
      </c>
      <c r="L66" s="56">
        <v>0.8743055555555556</v>
      </c>
      <c r="M66" s="56">
        <v>0.8902777777777777</v>
      </c>
    </row>
    <row r="67">
      <c r="B67" s="55">
        <v>46104.0</v>
      </c>
      <c r="C67" s="56">
        <v>0.9416666666666667</v>
      </c>
      <c r="D67" s="57" t="s">
        <v>37</v>
      </c>
      <c r="E67" s="45" t="s">
        <v>142</v>
      </c>
      <c r="F67" s="37" t="s">
        <v>18</v>
      </c>
      <c r="G67" s="45" t="s">
        <v>143</v>
      </c>
      <c r="H67" s="45" t="s">
        <v>144</v>
      </c>
      <c r="I67" s="57" t="s">
        <v>20</v>
      </c>
      <c r="J67" s="57" t="s">
        <v>21</v>
      </c>
      <c r="K67" s="57" t="s">
        <v>22</v>
      </c>
      <c r="L67" s="56">
        <v>0.9430555555555555</v>
      </c>
      <c r="M67" s="56"/>
    </row>
    <row r="68">
      <c r="B68" s="55">
        <v>46104.0</v>
      </c>
      <c r="C68" s="56">
        <v>0.9506944444444444</v>
      </c>
      <c r="D68" s="57" t="s">
        <v>23</v>
      </c>
      <c r="E68" s="58" t="s">
        <v>145</v>
      </c>
      <c r="F68" s="37" t="s">
        <v>18</v>
      </c>
      <c r="G68" s="45" t="s">
        <v>146</v>
      </c>
      <c r="H68" s="45" t="s">
        <v>146</v>
      </c>
      <c r="I68" s="57" t="s">
        <v>40</v>
      </c>
      <c r="J68" s="57" t="s">
        <v>21</v>
      </c>
      <c r="K68" s="57" t="s">
        <v>22</v>
      </c>
      <c r="L68" s="56">
        <v>0.9513888888888888</v>
      </c>
      <c r="M68" s="56">
        <v>0.9513888888888888</v>
      </c>
    </row>
    <row r="69">
      <c r="B69" s="59"/>
      <c r="C69" s="56"/>
      <c r="D69" s="57"/>
      <c r="E69" s="58"/>
      <c r="F69" s="58"/>
      <c r="I69" s="57"/>
      <c r="J69" s="57"/>
      <c r="K69" s="57"/>
      <c r="L69" s="56"/>
      <c r="M69" s="56"/>
    </row>
    <row r="70">
      <c r="B70" s="59"/>
      <c r="C70" s="56"/>
      <c r="D70" s="57"/>
      <c r="E70" s="58"/>
      <c r="F70" s="58"/>
      <c r="I70" s="57"/>
      <c r="J70" s="57"/>
      <c r="K70" s="57"/>
      <c r="L70" s="56"/>
      <c r="M70" s="56"/>
    </row>
    <row r="71">
      <c r="B71" s="59"/>
      <c r="C71" s="56"/>
      <c r="D71" s="57"/>
      <c r="E71" s="58"/>
      <c r="F71" s="58"/>
      <c r="I71" s="57"/>
      <c r="J71" s="57"/>
      <c r="K71" s="57"/>
      <c r="L71" s="56"/>
      <c r="M71" s="56"/>
    </row>
    <row r="72">
      <c r="B72" s="59"/>
      <c r="C72" s="56"/>
      <c r="D72" s="57"/>
      <c r="E72" s="58"/>
      <c r="F72" s="58"/>
      <c r="I72" s="57"/>
      <c r="J72" s="57"/>
      <c r="K72" s="57"/>
      <c r="L72" s="56"/>
      <c r="M72" s="56"/>
    </row>
    <row r="73">
      <c r="B73" s="59"/>
      <c r="C73" s="56"/>
      <c r="D73" s="57"/>
      <c r="E73" s="58"/>
      <c r="F73" s="58"/>
      <c r="I73" s="57"/>
      <c r="J73" s="57"/>
      <c r="K73" s="57"/>
      <c r="L73" s="56"/>
      <c r="M73" s="56"/>
    </row>
    <row r="74">
      <c r="B74" s="59"/>
      <c r="C74" s="56"/>
      <c r="D74" s="57"/>
      <c r="E74" s="58"/>
      <c r="F74" s="58"/>
      <c r="I74" s="57"/>
      <c r="J74" s="57"/>
      <c r="K74" s="57"/>
      <c r="L74" s="56"/>
      <c r="M74" s="56"/>
    </row>
    <row r="75">
      <c r="B75" s="59"/>
      <c r="C75" s="56"/>
      <c r="D75" s="57"/>
      <c r="E75" s="58"/>
      <c r="F75" s="58"/>
      <c r="I75" s="57"/>
      <c r="J75" s="57"/>
      <c r="K75" s="57"/>
      <c r="L75" s="56"/>
      <c r="M75" s="56"/>
    </row>
    <row r="76">
      <c r="B76" s="59"/>
      <c r="C76" s="56"/>
      <c r="D76" s="57"/>
      <c r="E76" s="58"/>
      <c r="F76" s="58"/>
      <c r="I76" s="57"/>
      <c r="J76" s="57"/>
      <c r="K76" s="57"/>
      <c r="L76" s="56"/>
      <c r="M76" s="56"/>
    </row>
    <row r="77">
      <c r="B77" s="59"/>
      <c r="C77" s="56"/>
      <c r="D77" s="57"/>
      <c r="E77" s="58"/>
      <c r="F77" s="58"/>
      <c r="I77" s="57"/>
      <c r="J77" s="57"/>
      <c r="K77" s="57"/>
      <c r="L77" s="56"/>
      <c r="M77" s="56"/>
    </row>
    <row r="78">
      <c r="B78" s="59"/>
      <c r="C78" s="56"/>
      <c r="D78" s="57"/>
      <c r="E78" s="58"/>
      <c r="F78" s="58"/>
      <c r="I78" s="57"/>
      <c r="J78" s="57"/>
      <c r="K78" s="57"/>
      <c r="L78" s="56"/>
      <c r="M78" s="56"/>
    </row>
    <row r="79">
      <c r="B79" s="59"/>
      <c r="C79" s="56"/>
      <c r="D79" s="57"/>
      <c r="E79" s="58"/>
      <c r="F79" s="58"/>
      <c r="I79" s="57"/>
      <c r="J79" s="57"/>
      <c r="K79" s="57"/>
      <c r="L79" s="56"/>
      <c r="M79" s="56"/>
    </row>
    <row r="80">
      <c r="B80" s="59"/>
      <c r="C80" s="56"/>
      <c r="D80" s="57"/>
      <c r="E80" s="58"/>
      <c r="F80" s="58"/>
      <c r="I80" s="57"/>
      <c r="J80" s="57"/>
      <c r="K80" s="57"/>
      <c r="L80" s="56"/>
      <c r="M80" s="56"/>
    </row>
    <row r="81">
      <c r="B81" s="59"/>
      <c r="C81" s="56"/>
      <c r="D81" s="57"/>
      <c r="E81" s="58"/>
      <c r="F81" s="58"/>
      <c r="I81" s="57"/>
      <c r="J81" s="57"/>
      <c r="K81" s="57"/>
      <c r="L81" s="56"/>
      <c r="M81" s="56"/>
    </row>
    <row r="82">
      <c r="B82" s="59"/>
      <c r="C82" s="56"/>
      <c r="D82" s="57"/>
      <c r="E82" s="58"/>
      <c r="F82" s="58"/>
      <c r="I82" s="57"/>
      <c r="J82" s="57"/>
      <c r="K82" s="57"/>
      <c r="L82" s="56"/>
      <c r="M82" s="56"/>
    </row>
    <row r="83">
      <c r="B83" s="59"/>
      <c r="C83" s="56"/>
      <c r="D83" s="57"/>
      <c r="E83" s="58"/>
      <c r="F83" s="58"/>
      <c r="I83" s="57"/>
      <c r="J83" s="57"/>
      <c r="K83" s="57"/>
      <c r="L83" s="56"/>
      <c r="M83" s="56"/>
    </row>
    <row r="84">
      <c r="B84" s="59"/>
      <c r="C84" s="56"/>
      <c r="D84" s="57"/>
      <c r="E84" s="58"/>
      <c r="F84" s="58"/>
      <c r="I84" s="57"/>
      <c r="J84" s="57"/>
      <c r="K84" s="57"/>
      <c r="L84" s="56"/>
      <c r="M84" s="56"/>
    </row>
    <row r="85">
      <c r="B85" s="59"/>
      <c r="C85" s="56"/>
      <c r="D85" s="57"/>
      <c r="E85" s="58"/>
      <c r="F85" s="58"/>
      <c r="I85" s="57"/>
      <c r="J85" s="57"/>
      <c r="K85" s="57"/>
      <c r="L85" s="56"/>
      <c r="M85" s="56"/>
    </row>
    <row r="86">
      <c r="B86" s="59"/>
      <c r="C86" s="56"/>
      <c r="D86" s="57"/>
      <c r="E86" s="58"/>
      <c r="F86" s="58"/>
      <c r="I86" s="57"/>
      <c r="J86" s="57"/>
      <c r="K86" s="57"/>
      <c r="L86" s="56"/>
      <c r="M86" s="56"/>
    </row>
    <row r="87">
      <c r="B87" s="59"/>
      <c r="C87" s="56"/>
      <c r="D87" s="57"/>
      <c r="E87" s="58"/>
      <c r="F87" s="58"/>
      <c r="I87" s="57"/>
      <c r="J87" s="57"/>
      <c r="K87" s="57"/>
      <c r="L87" s="56"/>
      <c r="M87" s="56"/>
    </row>
    <row r="88">
      <c r="B88" s="59"/>
      <c r="C88" s="56"/>
      <c r="D88" s="57"/>
      <c r="E88" s="58"/>
      <c r="F88" s="58"/>
      <c r="I88" s="57"/>
      <c r="J88" s="57"/>
      <c r="K88" s="57"/>
      <c r="L88" s="56"/>
      <c r="M88" s="56"/>
    </row>
    <row r="89">
      <c r="B89" s="59"/>
      <c r="C89" s="56"/>
      <c r="D89" s="57"/>
      <c r="E89" s="58"/>
      <c r="F89" s="58"/>
      <c r="I89" s="57"/>
      <c r="J89" s="57"/>
      <c r="K89" s="57"/>
      <c r="L89" s="56"/>
      <c r="M89" s="56"/>
    </row>
    <row r="90">
      <c r="B90" s="59"/>
      <c r="C90" s="56"/>
      <c r="D90" s="57"/>
      <c r="E90" s="58"/>
      <c r="F90" s="58"/>
      <c r="I90" s="57"/>
      <c r="J90" s="57"/>
      <c r="K90" s="57"/>
      <c r="L90" s="56"/>
      <c r="M90" s="56"/>
    </row>
    <row r="91">
      <c r="B91" s="59"/>
      <c r="C91" s="56"/>
      <c r="D91" s="57"/>
      <c r="E91" s="58"/>
      <c r="F91" s="58"/>
      <c r="I91" s="57"/>
      <c r="J91" s="57"/>
      <c r="K91" s="57"/>
      <c r="L91" s="56"/>
      <c r="M91" s="56"/>
    </row>
    <row r="92">
      <c r="B92" s="59"/>
      <c r="C92" s="56"/>
      <c r="D92" s="57"/>
      <c r="E92" s="58"/>
      <c r="F92" s="58"/>
      <c r="I92" s="57"/>
      <c r="J92" s="57"/>
      <c r="K92" s="57"/>
      <c r="L92" s="56"/>
      <c r="M92" s="56"/>
    </row>
    <row r="93">
      <c r="B93" s="59"/>
      <c r="C93" s="56"/>
      <c r="D93" s="57"/>
      <c r="E93" s="58"/>
      <c r="F93" s="58"/>
      <c r="I93" s="57"/>
      <c r="J93" s="57"/>
      <c r="K93" s="57"/>
      <c r="L93" s="56"/>
      <c r="M93" s="56"/>
    </row>
    <row r="94">
      <c r="B94" s="59"/>
      <c r="C94" s="56"/>
      <c r="D94" s="57"/>
      <c r="E94" s="58"/>
      <c r="F94" s="58"/>
      <c r="I94" s="57"/>
      <c r="J94" s="57"/>
      <c r="K94" s="57"/>
      <c r="L94" s="56"/>
      <c r="M94" s="56"/>
    </row>
    <row r="95">
      <c r="B95" s="59"/>
      <c r="C95" s="56"/>
      <c r="D95" s="57"/>
      <c r="E95" s="58"/>
      <c r="F95" s="58"/>
      <c r="I95" s="57"/>
      <c r="J95" s="57"/>
      <c r="K95" s="57"/>
      <c r="L95" s="56"/>
      <c r="M95" s="56"/>
    </row>
    <row r="96">
      <c r="B96" s="59"/>
      <c r="C96" s="56"/>
      <c r="D96" s="57"/>
      <c r="E96" s="58"/>
      <c r="F96" s="58"/>
      <c r="I96" s="57"/>
      <c r="J96" s="57"/>
      <c r="K96" s="57"/>
      <c r="L96" s="56"/>
      <c r="M96" s="56"/>
    </row>
    <row r="97">
      <c r="B97" s="59"/>
      <c r="C97" s="56"/>
      <c r="D97" s="57"/>
      <c r="E97" s="58"/>
      <c r="F97" s="58"/>
      <c r="I97" s="57"/>
      <c r="J97" s="57"/>
      <c r="K97" s="57"/>
      <c r="L97" s="56"/>
      <c r="M97" s="56"/>
    </row>
    <row r="98">
      <c r="B98" s="59"/>
      <c r="C98" s="56"/>
      <c r="D98" s="57"/>
      <c r="E98" s="58"/>
      <c r="F98" s="58"/>
      <c r="I98" s="57"/>
      <c r="J98" s="57"/>
      <c r="K98" s="57"/>
      <c r="L98" s="56"/>
      <c r="M98" s="56"/>
    </row>
  </sheetData>
  <mergeCells count="3">
    <mergeCell ref="A1:N1"/>
    <mergeCell ref="A21:N21"/>
    <mergeCell ref="B44:O44"/>
  </mergeCells>
  <dataValidations>
    <dataValidation type="custom" allowBlank="1" showDropDown="1" sqref="L4:L19 L49">
      <formula1>OR(TIMEVALUE(TEXT(L4, "hh:mm:ss"))=L4, AND(ISNUMBER(L4), LEFT(CELL("format", L4))="D"))</formula1>
    </dataValidation>
    <dataValidation type="list" allowBlank="1" sqref="I4:I19 I49">
      <formula1>"Alif,Tim Dev,Aji,OMded,amel,Febryano/Bewok,Vanny"</formula1>
    </dataValidation>
    <dataValidation type="list" allowBlank="1" sqref="K4:K19 K49">
      <formula1>"COS,RUNCHISE,VOUCHER,SIAGI,HADRAWE,NETWORK"</formula1>
    </dataValidation>
    <dataValidation type="list" allowBlank="1" sqref="J4:J19 J49">
      <formula1>"Solved,On Hold,Progress"</formula1>
    </dataValidation>
    <dataValidation type="list" allowBlank="1" sqref="K25:K36 K50:K98">
      <formula1>"COS,RUNCHISE,VOUCHER,SIAGI,HADRAWE,NETWORK,Server On Premise"</formula1>
    </dataValidation>
    <dataValidation type="list" allowBlank="1" sqref="I25:I36 I50:I98">
      <formula1>"Alif,Tim Dev,Aji,OMded,amel,Febryano/Bewok,Vanny,Rama,Rendy"</formula1>
    </dataValidation>
    <dataValidation type="custom" allowBlank="1" showDropDown="1" sqref="A4:A19 A49">
      <formula1>AND(ISNUMBER(A4),(NOT(OR(NOT(ISERROR(DATEVALUE(A4))), AND(ISNUMBER(A4), LEFT(CELL("format", A4))="D")))))</formula1>
    </dataValidation>
    <dataValidation allowBlank="1" showDropDown="1" sqref="O4:O19 O49"/>
    <dataValidation type="list" allowBlank="1" sqref="D25:D36 D50:D98">
      <formula1>"Jalur,Cibadak,Garut,Indramayu,Cianjur,Global,Subang"</formula1>
    </dataValidation>
    <dataValidation type="list" allowBlank="1" sqref="D4:D19 D49">
      <formula1>"Jalur,Cibadak,Garut,Indramayu,Cianjur,Global,Subang"</formula1>
    </dataValidation>
    <dataValidation type="list" allowBlank="1" sqref="J25:J36 J50:J98">
      <formula1>"Solved,On Hold,Progress"</formula1>
    </dataValidation>
  </dataValidations>
  <hyperlinks>
    <hyperlink r:id="rId1" ref="E8"/>
    <hyperlink r:id="rId2" ref="E32"/>
    <hyperlink r:id="rId3" ref="H55"/>
  </hyperlinks>
  <drawing r:id="rId4"/>
  <tableParts count="3">
    <tablePart r:id="rId8"/>
    <tablePart r:id="rId9"/>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5" max="5" width="40.5"/>
    <col customWidth="1" min="6" max="6" width="28.88"/>
    <col customWidth="1" min="7" max="7" width="65.38"/>
    <col customWidth="1" min="8" max="8" width="52.75"/>
    <col customWidth="1" min="11" max="11" width="15.75"/>
    <col customWidth="1" min="14" max="14" width="65.38"/>
    <col customWidth="1" min="15" max="15" width="21.13"/>
  </cols>
  <sheetData>
    <row r="1" ht="22.5" customHeight="1">
      <c r="A1" s="6" t="s">
        <v>1</v>
      </c>
      <c r="B1" s="6" t="s">
        <v>2</v>
      </c>
      <c r="C1" s="6" t="s">
        <v>3</v>
      </c>
      <c r="D1" s="6" t="s">
        <v>4</v>
      </c>
      <c r="E1" s="7" t="s">
        <v>147</v>
      </c>
      <c r="F1" s="6" t="s">
        <v>6</v>
      </c>
      <c r="G1" s="6" t="s">
        <v>148</v>
      </c>
      <c r="H1" s="6" t="s">
        <v>8</v>
      </c>
      <c r="I1" s="7" t="s">
        <v>9</v>
      </c>
      <c r="J1" s="6" t="s">
        <v>10</v>
      </c>
      <c r="K1" s="8" t="s">
        <v>11</v>
      </c>
      <c r="L1" s="8" t="s">
        <v>12</v>
      </c>
      <c r="M1" s="6" t="s">
        <v>13</v>
      </c>
      <c r="N1" s="7" t="s">
        <v>14</v>
      </c>
      <c r="O1" s="6" t="s">
        <v>15</v>
      </c>
    </row>
    <row r="2" ht="22.5" customHeight="1">
      <c r="A2" s="60">
        <v>1.0</v>
      </c>
      <c r="B2" s="17">
        <v>46082.0</v>
      </c>
      <c r="C2" s="11">
        <v>0.37777777777777777</v>
      </c>
      <c r="D2" s="12" t="s">
        <v>149</v>
      </c>
      <c r="E2" s="14" t="s">
        <v>150</v>
      </c>
      <c r="F2" s="14" t="s">
        <v>18</v>
      </c>
      <c r="G2" s="14"/>
      <c r="H2" s="14" t="s">
        <v>151</v>
      </c>
      <c r="I2" s="12" t="s">
        <v>40</v>
      </c>
      <c r="J2" s="12" t="s">
        <v>21</v>
      </c>
      <c r="K2" s="12" t="s">
        <v>22</v>
      </c>
      <c r="L2" s="11">
        <v>0.37777777777777777</v>
      </c>
      <c r="M2" s="11">
        <v>0.3888888888888889</v>
      </c>
      <c r="N2" s="15"/>
      <c r="O2" s="19"/>
    </row>
    <row r="3" ht="22.5" customHeight="1">
      <c r="A3" s="60">
        <v>2.0</v>
      </c>
      <c r="B3" s="17">
        <v>46082.0</v>
      </c>
      <c r="C3" s="11">
        <v>0.41388888888888886</v>
      </c>
      <c r="D3" s="12" t="s">
        <v>152</v>
      </c>
      <c r="E3" s="14" t="s">
        <v>153</v>
      </c>
      <c r="F3" s="14" t="s">
        <v>18</v>
      </c>
      <c r="G3" s="14"/>
      <c r="H3" s="14" t="s">
        <v>154</v>
      </c>
      <c r="I3" s="12" t="s">
        <v>40</v>
      </c>
      <c r="J3" s="12" t="s">
        <v>21</v>
      </c>
      <c r="K3" s="12" t="s">
        <v>22</v>
      </c>
      <c r="L3" s="19"/>
      <c r="M3" s="15"/>
      <c r="N3" s="15"/>
      <c r="O3" s="19"/>
    </row>
    <row r="4" ht="22.5" customHeight="1">
      <c r="A4" s="60">
        <v>3.0</v>
      </c>
      <c r="B4" s="17">
        <v>46174.0</v>
      </c>
      <c r="C4" s="11">
        <v>0.43333333333333335</v>
      </c>
      <c r="D4" s="12" t="s">
        <v>152</v>
      </c>
      <c r="E4" s="14" t="s">
        <v>155</v>
      </c>
      <c r="F4" s="14" t="s">
        <v>18</v>
      </c>
      <c r="G4" s="13"/>
      <c r="H4" s="13" t="s">
        <v>156</v>
      </c>
      <c r="I4" s="12" t="s">
        <v>72</v>
      </c>
      <c r="J4" s="12" t="s">
        <v>21</v>
      </c>
      <c r="K4" s="12" t="s">
        <v>22</v>
      </c>
      <c r="L4" s="19"/>
      <c r="M4" s="15"/>
      <c r="N4" s="15"/>
      <c r="O4" s="19"/>
    </row>
    <row r="5" ht="22.5" customHeight="1">
      <c r="A5" s="60">
        <v>4.0</v>
      </c>
      <c r="B5" s="17">
        <v>46174.0</v>
      </c>
      <c r="C5" s="15"/>
      <c r="D5" s="12" t="s">
        <v>157</v>
      </c>
      <c r="E5" s="14" t="s">
        <v>158</v>
      </c>
      <c r="F5" s="14" t="s">
        <v>18</v>
      </c>
      <c r="G5" s="14"/>
      <c r="H5" s="14" t="s">
        <v>159</v>
      </c>
      <c r="I5" s="12" t="s">
        <v>40</v>
      </c>
      <c r="J5" s="12" t="s">
        <v>21</v>
      </c>
      <c r="K5" s="12" t="s">
        <v>22</v>
      </c>
      <c r="L5" s="19"/>
      <c r="M5" s="15"/>
      <c r="N5" s="15"/>
      <c r="O5" s="19"/>
    </row>
    <row r="6" ht="22.5" customHeight="1">
      <c r="A6" s="60">
        <v>5.0</v>
      </c>
      <c r="B6" s="17">
        <v>46235.0</v>
      </c>
      <c r="C6" s="11">
        <v>0.42083333333333334</v>
      </c>
      <c r="D6" s="12" t="s">
        <v>160</v>
      </c>
      <c r="E6" s="13" t="s">
        <v>161</v>
      </c>
      <c r="F6" s="14" t="s">
        <v>18</v>
      </c>
      <c r="G6" s="14"/>
      <c r="H6" s="14" t="s">
        <v>162</v>
      </c>
      <c r="I6" s="12" t="s">
        <v>20</v>
      </c>
      <c r="J6" s="12" t="s">
        <v>21</v>
      </c>
      <c r="K6" s="12" t="s">
        <v>124</v>
      </c>
      <c r="L6" s="11">
        <v>0.4236111111111111</v>
      </c>
      <c r="M6" s="11">
        <v>0.425</v>
      </c>
      <c r="N6" s="15"/>
      <c r="O6" s="19"/>
    </row>
    <row r="7" ht="22.5" customHeight="1">
      <c r="A7" s="60">
        <v>6.0</v>
      </c>
      <c r="B7" s="10">
        <v>46235.0</v>
      </c>
      <c r="C7" s="11">
        <v>0.6375</v>
      </c>
      <c r="D7" s="12" t="s">
        <v>160</v>
      </c>
      <c r="E7" s="14" t="s">
        <v>163</v>
      </c>
      <c r="F7" s="14" t="s">
        <v>18</v>
      </c>
      <c r="G7" s="14"/>
      <c r="H7" s="14" t="s">
        <v>164</v>
      </c>
      <c r="I7" s="12" t="s">
        <v>40</v>
      </c>
      <c r="J7" s="12" t="s">
        <v>21</v>
      </c>
      <c r="K7" s="12" t="s">
        <v>30</v>
      </c>
      <c r="L7" s="11">
        <v>0.6375</v>
      </c>
      <c r="M7" s="11">
        <v>0.6430555555555556</v>
      </c>
      <c r="N7" s="15"/>
      <c r="O7" s="19"/>
    </row>
    <row r="8" ht="22.5" customHeight="1">
      <c r="A8" s="60">
        <v>7.0</v>
      </c>
      <c r="B8" s="10">
        <v>46235.0</v>
      </c>
      <c r="C8" s="11">
        <v>0.8506944444444444</v>
      </c>
      <c r="D8" s="12" t="s">
        <v>165</v>
      </c>
      <c r="E8" s="14" t="s">
        <v>166</v>
      </c>
      <c r="F8" s="14" t="s">
        <v>18</v>
      </c>
      <c r="G8" s="14"/>
      <c r="H8" s="14" t="s">
        <v>167</v>
      </c>
      <c r="I8" s="12" t="s">
        <v>168</v>
      </c>
      <c r="J8" s="12" t="s">
        <v>21</v>
      </c>
      <c r="K8" s="12" t="s">
        <v>30</v>
      </c>
      <c r="L8" s="11">
        <v>0.8513888888888889</v>
      </c>
      <c r="M8" s="15"/>
      <c r="N8" s="15"/>
      <c r="O8" s="19"/>
    </row>
    <row r="9" ht="22.5" customHeight="1">
      <c r="A9" s="60">
        <v>8.0</v>
      </c>
      <c r="B9" s="17">
        <v>46266.0</v>
      </c>
      <c r="C9" s="11">
        <v>0.6125</v>
      </c>
      <c r="D9" s="12" t="s">
        <v>152</v>
      </c>
      <c r="E9" s="14" t="s">
        <v>169</v>
      </c>
      <c r="F9" s="14" t="s">
        <v>18</v>
      </c>
      <c r="G9" s="13"/>
      <c r="H9" s="13" t="s">
        <v>170</v>
      </c>
      <c r="I9" s="12" t="s">
        <v>20</v>
      </c>
      <c r="J9" s="12" t="s">
        <v>21</v>
      </c>
      <c r="K9" s="12" t="s">
        <v>124</v>
      </c>
      <c r="L9" s="11">
        <v>0.6201388888888889</v>
      </c>
      <c r="M9" s="11">
        <v>0.6368055555555555</v>
      </c>
      <c r="N9" s="15"/>
      <c r="O9" s="19"/>
    </row>
    <row r="10" ht="22.5" customHeight="1">
      <c r="A10" s="60">
        <v>9.0</v>
      </c>
      <c r="B10" s="61" t="s">
        <v>171</v>
      </c>
      <c r="C10" s="11">
        <v>0.4951388888888889</v>
      </c>
      <c r="D10" s="12" t="s">
        <v>149</v>
      </c>
      <c r="E10" s="14" t="s">
        <v>172</v>
      </c>
      <c r="F10" s="14" t="s">
        <v>18</v>
      </c>
      <c r="G10" s="62"/>
      <c r="H10" s="63" t="s">
        <v>173</v>
      </c>
      <c r="I10" s="12" t="s">
        <v>40</v>
      </c>
      <c r="J10" s="12" t="s">
        <v>21</v>
      </c>
      <c r="K10" s="12" t="s">
        <v>30</v>
      </c>
      <c r="L10" s="11">
        <v>0.4965277777777778</v>
      </c>
      <c r="M10" s="11">
        <v>0.5020833333333333</v>
      </c>
      <c r="N10" s="15"/>
      <c r="O10" s="19"/>
    </row>
    <row r="11" ht="22.5" customHeight="1">
      <c r="A11" s="60">
        <v>10.0</v>
      </c>
      <c r="B11" s="61" t="s">
        <v>174</v>
      </c>
      <c r="C11" s="15"/>
      <c r="D11" s="12" t="s">
        <v>149</v>
      </c>
      <c r="E11" s="14" t="s">
        <v>172</v>
      </c>
      <c r="F11" s="14" t="s">
        <v>18</v>
      </c>
      <c r="G11" s="14"/>
      <c r="H11" s="14" t="s">
        <v>175</v>
      </c>
      <c r="I11" s="12" t="s">
        <v>40</v>
      </c>
      <c r="J11" s="12" t="s">
        <v>21</v>
      </c>
      <c r="K11" s="12" t="s">
        <v>30</v>
      </c>
      <c r="L11" s="11">
        <v>0.4951388888888889</v>
      </c>
      <c r="M11" s="11">
        <v>0.5020833333333333</v>
      </c>
      <c r="N11" s="15"/>
      <c r="O11" s="19"/>
    </row>
    <row r="12" ht="22.5" customHeight="1">
      <c r="A12" s="60">
        <v>11.0</v>
      </c>
      <c r="B12" s="13" t="s">
        <v>176</v>
      </c>
      <c r="C12" s="11">
        <v>0.6347222222222222</v>
      </c>
      <c r="D12" s="12" t="s">
        <v>177</v>
      </c>
      <c r="E12" s="13" t="s">
        <v>178</v>
      </c>
      <c r="F12" s="14" t="s">
        <v>18</v>
      </c>
      <c r="G12" s="14"/>
      <c r="H12" s="14" t="s">
        <v>179</v>
      </c>
      <c r="I12" s="12" t="s">
        <v>40</v>
      </c>
      <c r="J12" s="12" t="s">
        <v>21</v>
      </c>
      <c r="K12" s="12" t="s">
        <v>30</v>
      </c>
      <c r="L12" s="11">
        <v>0.6375</v>
      </c>
      <c r="M12" s="11">
        <v>0.65</v>
      </c>
      <c r="N12" s="15"/>
      <c r="O12" s="19"/>
    </row>
    <row r="13" ht="22.5" customHeight="1">
      <c r="A13" s="60">
        <v>12.0</v>
      </c>
      <c r="B13" s="13" t="s">
        <v>180</v>
      </c>
      <c r="C13" s="11">
        <v>0.7493055555555556</v>
      </c>
      <c r="D13" s="12" t="s">
        <v>152</v>
      </c>
      <c r="E13" s="13" t="s">
        <v>181</v>
      </c>
      <c r="F13" s="14" t="s">
        <v>18</v>
      </c>
      <c r="G13" s="13"/>
      <c r="H13" s="13" t="s">
        <v>182</v>
      </c>
      <c r="I13" s="12" t="s">
        <v>40</v>
      </c>
      <c r="J13" s="12" t="s">
        <v>21</v>
      </c>
      <c r="K13" s="12" t="s">
        <v>30</v>
      </c>
      <c r="L13" s="11">
        <v>0.7645833333333333</v>
      </c>
      <c r="M13" s="11">
        <v>0.9423611111111111</v>
      </c>
      <c r="N13" s="15"/>
      <c r="O13" s="19"/>
    </row>
    <row r="14" ht="22.5" customHeight="1">
      <c r="A14" s="60">
        <v>13.0</v>
      </c>
      <c r="B14" s="13" t="s">
        <v>180</v>
      </c>
      <c r="C14" s="11">
        <v>0.7868055555555555</v>
      </c>
      <c r="D14" s="12" t="s">
        <v>165</v>
      </c>
      <c r="E14" s="13" t="s">
        <v>183</v>
      </c>
      <c r="F14" s="14" t="s">
        <v>18</v>
      </c>
      <c r="G14" s="13"/>
      <c r="H14" s="13" t="s">
        <v>184</v>
      </c>
      <c r="I14" s="12" t="s">
        <v>26</v>
      </c>
      <c r="J14" s="12" t="s">
        <v>21</v>
      </c>
      <c r="K14" s="12" t="s">
        <v>30</v>
      </c>
      <c r="L14" s="11">
        <v>0.7888888888888889</v>
      </c>
      <c r="M14" s="11">
        <v>0.7986111111111112</v>
      </c>
      <c r="N14" s="15"/>
      <c r="O14" s="19"/>
    </row>
    <row r="15" ht="22.5" customHeight="1">
      <c r="A15" s="60">
        <v>14.0</v>
      </c>
      <c r="B15" s="13" t="s">
        <v>180</v>
      </c>
      <c r="C15" s="11">
        <v>0.8104166666666667</v>
      </c>
      <c r="D15" s="12" t="s">
        <v>177</v>
      </c>
      <c r="E15" s="13" t="s">
        <v>185</v>
      </c>
      <c r="F15" s="14" t="s">
        <v>18</v>
      </c>
      <c r="G15" s="13" t="s">
        <v>186</v>
      </c>
      <c r="H15" s="13" t="s">
        <v>187</v>
      </c>
      <c r="I15" s="12" t="s">
        <v>26</v>
      </c>
      <c r="J15" s="12" t="s">
        <v>21</v>
      </c>
      <c r="K15" s="12" t="s">
        <v>30</v>
      </c>
      <c r="L15" s="11">
        <v>0.8111111111111111</v>
      </c>
      <c r="M15" s="11">
        <v>0.8256944444444444</v>
      </c>
      <c r="N15" s="13" t="s">
        <v>188</v>
      </c>
      <c r="O15" s="19"/>
    </row>
    <row r="16" ht="22.5" customHeight="1">
      <c r="A16" s="60">
        <v>15.0</v>
      </c>
      <c r="B16" s="13" t="s">
        <v>189</v>
      </c>
      <c r="C16" s="11">
        <v>0.6097222222222223</v>
      </c>
      <c r="D16" s="12" t="s">
        <v>165</v>
      </c>
      <c r="E16" s="14" t="s">
        <v>190</v>
      </c>
      <c r="F16" s="14" t="s">
        <v>18</v>
      </c>
      <c r="G16" s="14"/>
      <c r="H16" s="14" t="s">
        <v>191</v>
      </c>
      <c r="I16" s="12" t="s">
        <v>40</v>
      </c>
      <c r="J16" s="12" t="s">
        <v>21</v>
      </c>
      <c r="K16" s="12" t="s">
        <v>124</v>
      </c>
      <c r="L16" s="11">
        <v>0.6104166666666667</v>
      </c>
      <c r="M16" s="15"/>
      <c r="N16" s="15"/>
      <c r="O16" s="19"/>
    </row>
    <row r="17" ht="22.5" customHeight="1">
      <c r="A17" s="60">
        <v>16.0</v>
      </c>
      <c r="B17" s="13" t="s">
        <v>59</v>
      </c>
      <c r="C17" s="11">
        <v>0.8208333333333333</v>
      </c>
      <c r="D17" s="12" t="s">
        <v>177</v>
      </c>
      <c r="E17" s="14" t="s">
        <v>192</v>
      </c>
      <c r="F17" s="14" t="s">
        <v>18</v>
      </c>
      <c r="G17" s="14"/>
      <c r="H17" s="14" t="s">
        <v>193</v>
      </c>
      <c r="I17" s="12" t="s">
        <v>72</v>
      </c>
      <c r="J17" s="12" t="s">
        <v>21</v>
      </c>
      <c r="K17" s="12" t="s">
        <v>54</v>
      </c>
      <c r="L17" s="11">
        <v>0.8229166666666666</v>
      </c>
      <c r="M17" s="15"/>
      <c r="N17" s="15"/>
      <c r="O17" s="19"/>
    </row>
    <row r="18" ht="22.5" customHeight="1">
      <c r="A18" s="60">
        <v>17.0</v>
      </c>
      <c r="B18" s="13" t="s">
        <v>59</v>
      </c>
      <c r="C18" s="11">
        <v>0.5847222222222223</v>
      </c>
      <c r="D18" s="12" t="s">
        <v>165</v>
      </c>
      <c r="E18" s="14" t="s">
        <v>194</v>
      </c>
      <c r="F18" s="14" t="s">
        <v>18</v>
      </c>
      <c r="G18" s="13"/>
      <c r="H18" s="13" t="s">
        <v>195</v>
      </c>
      <c r="I18" s="12" t="s">
        <v>40</v>
      </c>
      <c r="J18" s="12" t="s">
        <v>21</v>
      </c>
      <c r="K18" s="12" t="s">
        <v>54</v>
      </c>
      <c r="L18" s="11">
        <v>0.5861111111111111</v>
      </c>
      <c r="M18" s="15"/>
      <c r="N18" s="15"/>
      <c r="O18" s="19"/>
    </row>
    <row r="19" ht="22.5" customHeight="1">
      <c r="A19" s="60">
        <v>18.0</v>
      </c>
      <c r="B19" s="64" t="s">
        <v>59</v>
      </c>
      <c r="C19" s="11">
        <v>0.7104166666666667</v>
      </c>
      <c r="D19" s="12" t="s">
        <v>196</v>
      </c>
      <c r="E19" s="65" t="s">
        <v>197</v>
      </c>
      <c r="F19" s="14" t="s">
        <v>18</v>
      </c>
      <c r="G19" s="13"/>
      <c r="H19" s="13" t="s">
        <v>198</v>
      </c>
      <c r="I19" s="12" t="s">
        <v>44</v>
      </c>
      <c r="J19" s="12" t="s">
        <v>21</v>
      </c>
      <c r="K19" s="12" t="s">
        <v>22</v>
      </c>
      <c r="L19" s="11">
        <v>0.7104166666666667</v>
      </c>
      <c r="M19" s="11">
        <v>0.7236111111111111</v>
      </c>
      <c r="N19" s="15"/>
      <c r="O19" s="19"/>
    </row>
    <row r="20" ht="22.5" customHeight="1">
      <c r="A20" s="60">
        <v>19.0</v>
      </c>
      <c r="B20" s="64" t="s">
        <v>199</v>
      </c>
      <c r="C20" s="11">
        <v>0.75625</v>
      </c>
      <c r="D20" s="12" t="s">
        <v>200</v>
      </c>
      <c r="E20" s="65" t="s">
        <v>201</v>
      </c>
      <c r="F20" s="14" t="s">
        <v>18</v>
      </c>
      <c r="G20" s="13"/>
      <c r="H20" s="13" t="s">
        <v>202</v>
      </c>
      <c r="I20" s="12" t="s">
        <v>62</v>
      </c>
      <c r="J20" s="12" t="s">
        <v>21</v>
      </c>
      <c r="K20" s="12" t="s">
        <v>22</v>
      </c>
      <c r="L20" s="11">
        <v>0.75625</v>
      </c>
      <c r="M20" s="11">
        <v>0.8979166666666667</v>
      </c>
      <c r="N20" s="15"/>
      <c r="O20" s="19"/>
    </row>
    <row r="21" ht="22.5" customHeight="1">
      <c r="A21" s="60">
        <v>20.0</v>
      </c>
      <c r="B21" s="13" t="s">
        <v>203</v>
      </c>
      <c r="C21" s="11">
        <v>0.46319444444444446</v>
      </c>
      <c r="D21" s="12" t="s">
        <v>157</v>
      </c>
      <c r="E21" s="14" t="s">
        <v>204</v>
      </c>
      <c r="F21" s="14" t="s">
        <v>18</v>
      </c>
      <c r="G21" s="13"/>
      <c r="H21" s="13" t="s">
        <v>202</v>
      </c>
      <c r="I21" s="12" t="s">
        <v>62</v>
      </c>
      <c r="J21" s="12" t="s">
        <v>21</v>
      </c>
      <c r="K21" s="12" t="s">
        <v>22</v>
      </c>
      <c r="L21" s="11">
        <v>0.47708333333333336</v>
      </c>
      <c r="M21" s="11">
        <v>0.8805555555555555</v>
      </c>
      <c r="N21" s="15"/>
      <c r="O21" s="19"/>
    </row>
    <row r="22" ht="22.5" customHeight="1">
      <c r="A22" s="60">
        <v>21.0</v>
      </c>
      <c r="B22" s="13" t="s">
        <v>205</v>
      </c>
      <c r="C22" s="11">
        <v>0.8756944444444444</v>
      </c>
      <c r="D22" s="12" t="s">
        <v>160</v>
      </c>
      <c r="E22" s="14" t="s">
        <v>206</v>
      </c>
      <c r="F22" s="14" t="s">
        <v>18</v>
      </c>
      <c r="G22" s="13"/>
      <c r="H22" s="13" t="s">
        <v>207</v>
      </c>
      <c r="I22" s="12" t="s">
        <v>62</v>
      </c>
      <c r="J22" s="12" t="s">
        <v>21</v>
      </c>
      <c r="K22" s="12" t="s">
        <v>22</v>
      </c>
      <c r="L22" s="11">
        <v>0.8756944444444444</v>
      </c>
      <c r="M22" s="11">
        <v>0.8805555555555555</v>
      </c>
      <c r="N22" s="15"/>
      <c r="O22" s="19"/>
    </row>
    <row r="23" ht="22.5" customHeight="1">
      <c r="A23" s="60">
        <v>22.0</v>
      </c>
      <c r="B23" s="13" t="s">
        <v>203</v>
      </c>
      <c r="C23" s="11">
        <v>0.8229166666666666</v>
      </c>
      <c r="D23" s="12" t="s">
        <v>196</v>
      </c>
      <c r="E23" s="14" t="s">
        <v>208</v>
      </c>
      <c r="F23" s="14" t="s">
        <v>18</v>
      </c>
      <c r="G23" s="13"/>
      <c r="H23" s="13" t="s">
        <v>209</v>
      </c>
      <c r="I23" s="12" t="s">
        <v>44</v>
      </c>
      <c r="J23" s="12" t="s">
        <v>21</v>
      </c>
      <c r="K23" s="12" t="s">
        <v>22</v>
      </c>
      <c r="L23" s="11">
        <v>0.8236111111111111</v>
      </c>
      <c r="M23" s="11">
        <v>0.8618055555555556</v>
      </c>
      <c r="N23" s="15"/>
      <c r="O23" s="19"/>
    </row>
    <row r="24" ht="22.5" customHeight="1">
      <c r="A24" s="60">
        <v>23.0</v>
      </c>
      <c r="B24" s="13" t="s">
        <v>66</v>
      </c>
      <c r="C24" s="11">
        <v>0.9805555555555555</v>
      </c>
      <c r="D24" s="12" t="s">
        <v>196</v>
      </c>
      <c r="E24" s="14" t="s">
        <v>210</v>
      </c>
      <c r="F24" s="14" t="s">
        <v>18</v>
      </c>
      <c r="G24" s="13"/>
      <c r="H24" s="13" t="s">
        <v>211</v>
      </c>
      <c r="I24" s="12" t="s">
        <v>168</v>
      </c>
      <c r="J24" s="12" t="s">
        <v>21</v>
      </c>
      <c r="K24" s="12" t="s">
        <v>76</v>
      </c>
      <c r="L24" s="11">
        <v>0.9763888888888889</v>
      </c>
      <c r="M24" s="15"/>
      <c r="N24" s="15"/>
      <c r="O24" s="19"/>
    </row>
    <row r="25" ht="22.5" customHeight="1">
      <c r="A25" s="60">
        <v>24.0</v>
      </c>
      <c r="B25" s="13" t="s">
        <v>212</v>
      </c>
      <c r="C25" s="11">
        <v>0.5381944444444444</v>
      </c>
      <c r="D25" s="12" t="s">
        <v>160</v>
      </c>
      <c r="E25" s="14" t="s">
        <v>213</v>
      </c>
      <c r="F25" s="14" t="s">
        <v>18</v>
      </c>
      <c r="G25" s="14"/>
      <c r="H25" s="14" t="s">
        <v>214</v>
      </c>
      <c r="I25" s="12" t="s">
        <v>40</v>
      </c>
      <c r="J25" s="12" t="s">
        <v>21</v>
      </c>
      <c r="K25" s="12" t="s">
        <v>22</v>
      </c>
      <c r="L25" s="11">
        <v>0.5388888888888889</v>
      </c>
      <c r="M25" s="15"/>
      <c r="N25" s="15"/>
      <c r="O25" s="19"/>
    </row>
    <row r="26" ht="22.5" customHeight="1">
      <c r="A26" s="60">
        <v>25.0</v>
      </c>
      <c r="B26" s="13" t="s">
        <v>212</v>
      </c>
      <c r="C26" s="11">
        <v>0.8125</v>
      </c>
      <c r="D26" s="12" t="s">
        <v>160</v>
      </c>
      <c r="E26" s="14" t="s">
        <v>215</v>
      </c>
      <c r="F26" s="14" t="s">
        <v>18</v>
      </c>
      <c r="G26" s="13"/>
      <c r="H26" s="13" t="s">
        <v>216</v>
      </c>
      <c r="I26" s="12" t="s">
        <v>62</v>
      </c>
      <c r="J26" s="12" t="s">
        <v>21</v>
      </c>
      <c r="K26" s="12" t="s">
        <v>22</v>
      </c>
      <c r="L26" s="11">
        <v>0.8125</v>
      </c>
      <c r="M26" s="15"/>
      <c r="N26" s="15"/>
      <c r="O26" s="19"/>
    </row>
    <row r="27" ht="22.5" customHeight="1">
      <c r="A27" s="60">
        <v>26.0</v>
      </c>
      <c r="B27" s="13" t="s">
        <v>217</v>
      </c>
      <c r="C27" s="11">
        <v>0.9180555555555555</v>
      </c>
      <c r="D27" s="12" t="s">
        <v>165</v>
      </c>
      <c r="E27" s="14" t="s">
        <v>218</v>
      </c>
      <c r="F27" s="14" t="s">
        <v>18</v>
      </c>
      <c r="G27" s="13"/>
      <c r="H27" s="13" t="s">
        <v>219</v>
      </c>
      <c r="I27" s="12" t="s">
        <v>44</v>
      </c>
      <c r="J27" s="12" t="s">
        <v>21</v>
      </c>
      <c r="K27" s="12" t="s">
        <v>22</v>
      </c>
      <c r="L27" s="11">
        <v>0.9194444444444444</v>
      </c>
      <c r="M27" s="11">
        <v>0.9277777777777778</v>
      </c>
      <c r="N27" s="15"/>
      <c r="O27" s="19"/>
    </row>
    <row r="28" ht="22.5" customHeight="1">
      <c r="A28" s="60">
        <v>27.0</v>
      </c>
      <c r="B28" s="13" t="s">
        <v>220</v>
      </c>
      <c r="C28" s="11">
        <v>0.63125</v>
      </c>
      <c r="D28" s="12" t="s">
        <v>149</v>
      </c>
      <c r="E28" s="14" t="s">
        <v>221</v>
      </c>
      <c r="F28" s="14" t="s">
        <v>18</v>
      </c>
      <c r="G28" s="13"/>
      <c r="H28" s="13" t="s">
        <v>222</v>
      </c>
      <c r="I28" s="12" t="s">
        <v>40</v>
      </c>
      <c r="J28" s="12" t="s">
        <v>21</v>
      </c>
      <c r="K28" s="12" t="s">
        <v>30</v>
      </c>
      <c r="L28" s="11">
        <v>0.6395833333333333</v>
      </c>
      <c r="M28" s="11">
        <v>0.6479166666666667</v>
      </c>
      <c r="N28" s="15"/>
      <c r="O28" s="19"/>
    </row>
    <row r="29" ht="22.5" customHeight="1">
      <c r="A29" s="60">
        <v>28.0</v>
      </c>
      <c r="B29" s="13" t="s">
        <v>223</v>
      </c>
      <c r="C29" s="11">
        <v>0.5916666666666667</v>
      </c>
      <c r="D29" s="12" t="s">
        <v>165</v>
      </c>
      <c r="E29" s="13" t="s">
        <v>224</v>
      </c>
      <c r="F29" s="14" t="s">
        <v>18</v>
      </c>
      <c r="G29" s="13"/>
      <c r="H29" s="13" t="s">
        <v>225</v>
      </c>
      <c r="I29" s="12" t="s">
        <v>72</v>
      </c>
      <c r="J29" s="12" t="s">
        <v>21</v>
      </c>
      <c r="K29" s="12" t="s">
        <v>54</v>
      </c>
      <c r="L29" s="11">
        <v>0.5930555555555556</v>
      </c>
      <c r="M29" s="11">
        <v>0.5972222222222222</v>
      </c>
      <c r="N29" s="15"/>
      <c r="O29" s="19"/>
    </row>
    <row r="30" ht="22.5" customHeight="1">
      <c r="A30" s="60">
        <v>29.0</v>
      </c>
      <c r="B30" s="13" t="s">
        <v>226</v>
      </c>
      <c r="C30" s="11">
        <v>0.4083333333333333</v>
      </c>
      <c r="D30" s="12" t="s">
        <v>165</v>
      </c>
      <c r="E30" s="13" t="s">
        <v>227</v>
      </c>
      <c r="F30" s="14" t="s">
        <v>18</v>
      </c>
      <c r="G30" s="13" t="s">
        <v>228</v>
      </c>
      <c r="H30" s="66" t="s">
        <v>229</v>
      </c>
      <c r="I30" s="12" t="s">
        <v>26</v>
      </c>
      <c r="J30" s="12" t="s">
        <v>21</v>
      </c>
      <c r="K30" s="12" t="s">
        <v>81</v>
      </c>
      <c r="L30" s="11">
        <v>0.4083333333333333</v>
      </c>
      <c r="M30" s="11">
        <v>0.41041666666666665</v>
      </c>
      <c r="N30" s="13" t="s">
        <v>230</v>
      </c>
      <c r="O30" s="19"/>
    </row>
    <row r="31" ht="22.5" customHeight="1">
      <c r="A31" s="60">
        <v>30.0</v>
      </c>
      <c r="B31" s="13" t="s">
        <v>226</v>
      </c>
      <c r="C31" s="11">
        <v>0.43680555555555556</v>
      </c>
      <c r="D31" s="12" t="s">
        <v>196</v>
      </c>
      <c r="E31" s="67" t="s">
        <v>197</v>
      </c>
      <c r="F31" s="14" t="s">
        <v>18</v>
      </c>
      <c r="G31" s="13"/>
      <c r="H31" s="13" t="s">
        <v>231</v>
      </c>
      <c r="I31" s="12" t="s">
        <v>232</v>
      </c>
      <c r="J31" s="12" t="s">
        <v>21</v>
      </c>
      <c r="K31" s="12" t="s">
        <v>22</v>
      </c>
      <c r="L31" s="11">
        <v>0.43680555555555556</v>
      </c>
      <c r="M31" s="11">
        <v>0.4395833333333333</v>
      </c>
      <c r="N31" s="15"/>
      <c r="O31" s="19"/>
    </row>
    <row r="32" ht="22.5" customHeight="1">
      <c r="A32" s="60">
        <v>31.0</v>
      </c>
      <c r="B32" s="68" t="s">
        <v>233</v>
      </c>
      <c r="C32" s="11">
        <v>0.44027777777777777</v>
      </c>
      <c r="D32" s="12" t="s">
        <v>165</v>
      </c>
      <c r="E32" s="13" t="s">
        <v>234</v>
      </c>
      <c r="F32" s="14" t="s">
        <v>18</v>
      </c>
      <c r="G32" s="15"/>
      <c r="H32" s="15"/>
      <c r="I32" s="69"/>
      <c r="J32" s="12" t="s">
        <v>21</v>
      </c>
      <c r="K32" s="12" t="s">
        <v>124</v>
      </c>
      <c r="L32" s="19"/>
      <c r="M32" s="11">
        <v>0.44166666666666665</v>
      </c>
      <c r="N32" s="15"/>
      <c r="O32" s="19"/>
    </row>
    <row r="35">
      <c r="A35" s="70" t="s">
        <v>235</v>
      </c>
    </row>
    <row r="38" ht="22.5" customHeight="1">
      <c r="A38" s="6" t="s">
        <v>1</v>
      </c>
      <c r="B38" s="6" t="s">
        <v>2</v>
      </c>
      <c r="C38" s="6" t="s">
        <v>3</v>
      </c>
      <c r="D38" s="6" t="s">
        <v>4</v>
      </c>
      <c r="E38" s="7" t="s">
        <v>147</v>
      </c>
      <c r="F38" s="6" t="s">
        <v>6</v>
      </c>
      <c r="G38" s="6" t="s">
        <v>236</v>
      </c>
      <c r="H38" s="6" t="s">
        <v>8</v>
      </c>
      <c r="I38" s="7" t="s">
        <v>9</v>
      </c>
      <c r="J38" s="6" t="s">
        <v>10</v>
      </c>
      <c r="K38" s="8" t="s">
        <v>11</v>
      </c>
      <c r="L38" s="8" t="s">
        <v>12</v>
      </c>
      <c r="M38" s="6" t="s">
        <v>13</v>
      </c>
      <c r="N38" s="7" t="s">
        <v>14</v>
      </c>
      <c r="O38" s="6" t="s">
        <v>15</v>
      </c>
    </row>
    <row r="39">
      <c r="A39" s="41">
        <v>1.0</v>
      </c>
      <c r="B39" s="71">
        <v>46055.0</v>
      </c>
      <c r="C39" s="72">
        <v>0.5013888888888889</v>
      </c>
      <c r="D39" s="73" t="s">
        <v>160</v>
      </c>
      <c r="E39" s="74" t="s">
        <v>82</v>
      </c>
      <c r="F39" s="74" t="s">
        <v>18</v>
      </c>
      <c r="G39" s="34" t="s">
        <v>83</v>
      </c>
      <c r="H39" s="34" t="s">
        <v>84</v>
      </c>
      <c r="I39" s="73" t="s">
        <v>20</v>
      </c>
      <c r="J39" s="73" t="s">
        <v>21</v>
      </c>
      <c r="K39" s="73" t="s">
        <v>22</v>
      </c>
      <c r="L39" s="72">
        <v>0.5013888888888889</v>
      </c>
      <c r="M39" s="72">
        <v>0.5229166666666667</v>
      </c>
      <c r="N39" s="75"/>
      <c r="O39" s="75"/>
    </row>
    <row r="40">
      <c r="A40" s="37">
        <v>2.0</v>
      </c>
      <c r="B40" s="38">
        <v>46055.0</v>
      </c>
      <c r="C40" s="39">
        <v>0.5854166666666667</v>
      </c>
      <c r="D40" s="73" t="s">
        <v>157</v>
      </c>
      <c r="E40" s="40" t="s">
        <v>237</v>
      </c>
      <c r="F40" s="74" t="s">
        <v>18</v>
      </c>
      <c r="G40" s="34"/>
      <c r="H40" s="36"/>
      <c r="I40" s="73" t="s">
        <v>20</v>
      </c>
      <c r="J40" s="73" t="s">
        <v>21</v>
      </c>
      <c r="K40" s="73" t="s">
        <v>22</v>
      </c>
      <c r="L40" s="39">
        <v>0.5854166666666667</v>
      </c>
      <c r="M40" s="72">
        <v>0.5229166666666667</v>
      </c>
      <c r="N40" s="36"/>
    </row>
    <row r="41">
      <c r="A41" s="41">
        <v>3.0</v>
      </c>
      <c r="B41" s="38">
        <v>46055.0</v>
      </c>
      <c r="C41" s="39">
        <v>0.5993055555555555</v>
      </c>
      <c r="D41" s="73" t="s">
        <v>200</v>
      </c>
      <c r="E41" s="34" t="s">
        <v>238</v>
      </c>
      <c r="F41" s="74" t="s">
        <v>18</v>
      </c>
      <c r="G41" s="34" t="s">
        <v>83</v>
      </c>
      <c r="H41" s="34" t="s">
        <v>84</v>
      </c>
      <c r="I41" s="73" t="s">
        <v>20</v>
      </c>
      <c r="J41" s="73" t="s">
        <v>21</v>
      </c>
      <c r="K41" s="73" t="s">
        <v>22</v>
      </c>
      <c r="L41" s="39">
        <v>0.6090277777777777</v>
      </c>
      <c r="M41" s="72">
        <v>0.5229166666666667</v>
      </c>
      <c r="N41" s="36"/>
    </row>
    <row r="42">
      <c r="A42" s="37">
        <v>4.0</v>
      </c>
      <c r="B42" s="36"/>
      <c r="C42" s="36"/>
      <c r="D42" s="73" t="s">
        <v>200</v>
      </c>
      <c r="E42" s="44" t="s">
        <v>239</v>
      </c>
      <c r="F42" s="74" t="s">
        <v>18</v>
      </c>
      <c r="G42" s="36"/>
      <c r="H42" s="36"/>
      <c r="I42" s="73" t="s">
        <v>20</v>
      </c>
      <c r="J42" s="73" t="s">
        <v>21</v>
      </c>
      <c r="K42" s="73" t="s">
        <v>22</v>
      </c>
      <c r="L42" s="36"/>
      <c r="M42" s="36"/>
      <c r="N42" s="36"/>
    </row>
    <row r="43">
      <c r="A43" s="41">
        <v>5.0</v>
      </c>
      <c r="B43" s="38">
        <v>46057.0</v>
      </c>
      <c r="C43" s="39">
        <v>0.6666666666666666</v>
      </c>
      <c r="D43" s="73" t="s">
        <v>165</v>
      </c>
      <c r="E43" s="37" t="s">
        <v>240</v>
      </c>
      <c r="F43" s="74" t="s">
        <v>18</v>
      </c>
      <c r="G43" s="36"/>
      <c r="H43" s="36"/>
      <c r="I43" s="73" t="s">
        <v>40</v>
      </c>
      <c r="J43" s="73" t="s">
        <v>241</v>
      </c>
      <c r="K43" s="73" t="s">
        <v>54</v>
      </c>
      <c r="L43" s="39">
        <v>0.6680555555555555</v>
      </c>
      <c r="M43" s="36"/>
      <c r="N43" s="36"/>
    </row>
    <row r="44">
      <c r="A44" s="37">
        <v>6.0</v>
      </c>
      <c r="B44" s="43">
        <v>46063.0</v>
      </c>
      <c r="C44" s="39">
        <v>0.5173611111111112</v>
      </c>
      <c r="D44" s="73" t="s">
        <v>200</v>
      </c>
      <c r="E44" s="44" t="s">
        <v>242</v>
      </c>
      <c r="F44" s="74" t="s">
        <v>18</v>
      </c>
      <c r="G44" s="36"/>
      <c r="H44" s="36"/>
      <c r="I44" s="73" t="s">
        <v>40</v>
      </c>
      <c r="J44" s="73" t="s">
        <v>21</v>
      </c>
      <c r="K44" s="73" t="s">
        <v>30</v>
      </c>
      <c r="L44" s="39">
        <v>0.5208333333333334</v>
      </c>
      <c r="M44" s="39">
        <v>0.5444444444444444</v>
      </c>
      <c r="N44" s="36"/>
    </row>
    <row r="45">
      <c r="A45" s="41">
        <v>7.0</v>
      </c>
      <c r="B45" s="43">
        <v>46064.0</v>
      </c>
      <c r="C45" s="39">
        <v>0.38263888888888886</v>
      </c>
      <c r="D45" s="73" t="s">
        <v>149</v>
      </c>
      <c r="E45" s="44" t="s">
        <v>242</v>
      </c>
      <c r="F45" s="74" t="s">
        <v>18</v>
      </c>
      <c r="G45" s="36"/>
      <c r="H45" s="36"/>
      <c r="I45" s="73" t="s">
        <v>40</v>
      </c>
      <c r="J45" s="73" t="s">
        <v>21</v>
      </c>
      <c r="K45" s="73" t="s">
        <v>30</v>
      </c>
      <c r="L45" s="36"/>
      <c r="M45" s="36"/>
      <c r="N45" s="36"/>
    </row>
    <row r="46">
      <c r="A46" s="37">
        <v>8.0</v>
      </c>
      <c r="B46" s="43">
        <v>46065.0</v>
      </c>
      <c r="C46" s="36"/>
      <c r="D46" s="73" t="s">
        <v>165</v>
      </c>
      <c r="E46" s="46" t="s">
        <v>243</v>
      </c>
      <c r="F46" s="74" t="s">
        <v>18</v>
      </c>
      <c r="G46" s="36"/>
      <c r="H46" s="36"/>
      <c r="I46" s="73" t="s">
        <v>40</v>
      </c>
      <c r="J46" s="73" t="s">
        <v>21</v>
      </c>
      <c r="K46" s="73" t="s">
        <v>30</v>
      </c>
      <c r="L46" s="36"/>
      <c r="M46" s="36"/>
      <c r="N46" s="36"/>
    </row>
    <row r="47">
      <c r="A47" s="41">
        <v>9.0</v>
      </c>
      <c r="B47" s="43">
        <v>46065.0</v>
      </c>
      <c r="C47" s="36"/>
      <c r="D47" s="73" t="s">
        <v>157</v>
      </c>
      <c r="E47" s="46" t="s">
        <v>243</v>
      </c>
      <c r="F47" s="74" t="s">
        <v>18</v>
      </c>
      <c r="G47" s="36"/>
      <c r="H47" s="36"/>
      <c r="I47" s="73" t="s">
        <v>40</v>
      </c>
      <c r="J47" s="73" t="s">
        <v>21</v>
      </c>
      <c r="K47" s="73" t="s">
        <v>30</v>
      </c>
      <c r="L47" s="36"/>
      <c r="M47" s="36"/>
      <c r="N47" s="36"/>
    </row>
    <row r="48">
      <c r="A48" s="37">
        <v>10.0</v>
      </c>
      <c r="B48" s="43">
        <v>46065.0</v>
      </c>
      <c r="C48" s="36"/>
      <c r="D48" s="73" t="s">
        <v>149</v>
      </c>
      <c r="E48" s="44" t="s">
        <v>244</v>
      </c>
      <c r="F48" s="74" t="s">
        <v>18</v>
      </c>
      <c r="G48" s="36"/>
      <c r="H48" s="36"/>
      <c r="I48" s="73" t="s">
        <v>44</v>
      </c>
      <c r="J48" s="73" t="s">
        <v>21</v>
      </c>
      <c r="K48" s="73" t="s">
        <v>81</v>
      </c>
      <c r="L48" s="36"/>
      <c r="M48" s="36"/>
      <c r="N48" s="36"/>
    </row>
    <row r="49">
      <c r="A49" s="41">
        <v>11.0</v>
      </c>
      <c r="B49" s="43">
        <v>46068.0</v>
      </c>
      <c r="C49" s="36"/>
      <c r="D49" s="73" t="s">
        <v>149</v>
      </c>
      <c r="E49" s="46" t="s">
        <v>245</v>
      </c>
      <c r="F49" s="74" t="s">
        <v>18</v>
      </c>
      <c r="G49" s="37" t="s">
        <v>246</v>
      </c>
      <c r="H49" s="40" t="s">
        <v>247</v>
      </c>
      <c r="I49" s="73" t="s">
        <v>26</v>
      </c>
      <c r="J49" s="73" t="s">
        <v>21</v>
      </c>
      <c r="K49" s="73" t="s">
        <v>30</v>
      </c>
      <c r="L49" s="36"/>
      <c r="M49" s="36"/>
      <c r="N49" s="37" t="s">
        <v>248</v>
      </c>
    </row>
    <row r="50">
      <c r="A50" s="37">
        <v>12.0</v>
      </c>
      <c r="B50" s="43">
        <v>46078.0</v>
      </c>
      <c r="C50" s="39">
        <v>0.5222222222222223</v>
      </c>
      <c r="D50" s="73" t="s">
        <v>152</v>
      </c>
      <c r="E50" s="46" t="s">
        <v>249</v>
      </c>
      <c r="F50" s="74" t="s">
        <v>18</v>
      </c>
      <c r="G50" s="37" t="s">
        <v>250</v>
      </c>
      <c r="H50" s="37" t="s">
        <v>251</v>
      </c>
      <c r="I50" s="73" t="s">
        <v>136</v>
      </c>
      <c r="J50" s="73" t="s">
        <v>21</v>
      </c>
      <c r="K50" s="73" t="s">
        <v>22</v>
      </c>
      <c r="L50" s="39">
        <v>0.5236111111111111</v>
      </c>
      <c r="M50" s="39">
        <v>0.5236111111111111</v>
      </c>
      <c r="N50" s="36"/>
    </row>
    <row r="51">
      <c r="A51" s="41">
        <v>13.0</v>
      </c>
      <c r="B51" s="76">
        <v>46079.0</v>
      </c>
      <c r="C51" s="39">
        <v>0.5611111111111111</v>
      </c>
      <c r="D51" s="73" t="s">
        <v>149</v>
      </c>
      <c r="E51" s="46" t="s">
        <v>252</v>
      </c>
      <c r="F51" s="74" t="s">
        <v>18</v>
      </c>
      <c r="G51" s="37" t="s">
        <v>253</v>
      </c>
      <c r="H51" s="40" t="s">
        <v>254</v>
      </c>
      <c r="I51" s="73" t="s">
        <v>136</v>
      </c>
      <c r="J51" s="73" t="s">
        <v>21</v>
      </c>
      <c r="K51" s="73" t="s">
        <v>22</v>
      </c>
      <c r="L51" s="39">
        <v>0.5618055555555556</v>
      </c>
      <c r="M51" s="39">
        <v>0.5722222222222222</v>
      </c>
      <c r="N51" s="36"/>
    </row>
    <row r="52">
      <c r="A52" s="37">
        <v>14.0</v>
      </c>
      <c r="B52" s="43">
        <v>46079.0</v>
      </c>
      <c r="C52" s="39">
        <v>0.66875</v>
      </c>
      <c r="D52" s="73" t="s">
        <v>149</v>
      </c>
      <c r="E52" s="44" t="s">
        <v>255</v>
      </c>
      <c r="F52" s="74" t="s">
        <v>18</v>
      </c>
      <c r="G52" s="36"/>
      <c r="H52" s="36"/>
      <c r="I52" s="73" t="s">
        <v>40</v>
      </c>
      <c r="J52" s="73" t="s">
        <v>21</v>
      </c>
      <c r="K52" s="73" t="s">
        <v>22</v>
      </c>
      <c r="L52" s="39">
        <v>0.6715277777777777</v>
      </c>
      <c r="M52" s="39">
        <v>0.6715277777777777</v>
      </c>
      <c r="N52" s="36"/>
    </row>
    <row r="53">
      <c r="A53" s="41">
        <v>15.0</v>
      </c>
      <c r="B53" s="43">
        <v>46079.0</v>
      </c>
      <c r="C53" s="39">
        <v>0.8680555555555556</v>
      </c>
      <c r="D53" s="73" t="s">
        <v>200</v>
      </c>
      <c r="E53" s="46" t="s">
        <v>256</v>
      </c>
      <c r="F53" s="74" t="s">
        <v>18</v>
      </c>
      <c r="G53" s="36"/>
      <c r="H53" s="40" t="s">
        <v>257</v>
      </c>
      <c r="I53" s="73" t="s">
        <v>40</v>
      </c>
      <c r="J53" s="73" t="s">
        <v>21</v>
      </c>
      <c r="K53" s="73" t="s">
        <v>22</v>
      </c>
      <c r="L53" s="39">
        <v>0.8680555555555556</v>
      </c>
      <c r="M53" s="39">
        <v>0.8715277777777778</v>
      </c>
      <c r="N53" s="36"/>
    </row>
    <row r="59" ht="22.5" customHeight="1">
      <c r="A59" s="6" t="s">
        <v>1</v>
      </c>
      <c r="B59" s="6" t="s">
        <v>2</v>
      </c>
      <c r="C59" s="6" t="s">
        <v>3</v>
      </c>
      <c r="D59" s="6" t="s">
        <v>4</v>
      </c>
      <c r="E59" s="7" t="s">
        <v>147</v>
      </c>
      <c r="F59" s="6" t="s">
        <v>6</v>
      </c>
      <c r="G59" s="6" t="s">
        <v>236</v>
      </c>
      <c r="H59" s="6" t="s">
        <v>8</v>
      </c>
      <c r="I59" s="7" t="s">
        <v>9</v>
      </c>
      <c r="J59" s="6" t="s">
        <v>10</v>
      </c>
      <c r="K59" s="8" t="s">
        <v>11</v>
      </c>
      <c r="L59" s="8" t="s">
        <v>12</v>
      </c>
      <c r="M59" s="6" t="s">
        <v>13</v>
      </c>
      <c r="N59" s="7" t="s">
        <v>14</v>
      </c>
      <c r="O59" s="6" t="s">
        <v>15</v>
      </c>
    </row>
    <row r="60">
      <c r="A60" s="37">
        <v>16.0</v>
      </c>
      <c r="B60" s="43">
        <v>46084.0</v>
      </c>
      <c r="C60" s="39">
        <v>0.7069444444444445</v>
      </c>
      <c r="D60" s="73" t="s">
        <v>149</v>
      </c>
      <c r="E60" s="44" t="s">
        <v>258</v>
      </c>
      <c r="F60" s="74" t="s">
        <v>18</v>
      </c>
      <c r="G60" s="36"/>
      <c r="H60" s="77"/>
      <c r="I60" s="73" t="s">
        <v>72</v>
      </c>
      <c r="J60" s="73" t="s">
        <v>21</v>
      </c>
      <c r="K60" s="73" t="s">
        <v>30</v>
      </c>
      <c r="L60" s="39">
        <v>0.7076388888888889</v>
      </c>
      <c r="M60" s="36"/>
      <c r="N60" s="36"/>
    </row>
    <row r="61">
      <c r="A61" s="36"/>
      <c r="B61" s="43">
        <v>46085.0</v>
      </c>
      <c r="C61" s="36"/>
      <c r="D61" s="73" t="s">
        <v>160</v>
      </c>
      <c r="E61" s="46" t="s">
        <v>256</v>
      </c>
      <c r="F61" s="74" t="s">
        <v>18</v>
      </c>
      <c r="G61" s="36"/>
      <c r="H61" s="36"/>
      <c r="I61" s="73" t="s">
        <v>40</v>
      </c>
      <c r="J61" s="73" t="s">
        <v>21</v>
      </c>
      <c r="K61" s="73" t="s">
        <v>22</v>
      </c>
      <c r="L61" s="36"/>
      <c r="M61" s="36"/>
      <c r="N61" s="36"/>
    </row>
    <row r="62">
      <c r="A62" s="36"/>
      <c r="B62" s="43">
        <v>46086.0</v>
      </c>
      <c r="C62" s="36"/>
      <c r="D62" s="73" t="s">
        <v>196</v>
      </c>
      <c r="E62" s="44" t="s">
        <v>259</v>
      </c>
      <c r="F62" s="74" t="s">
        <v>18</v>
      </c>
      <c r="G62" s="36"/>
      <c r="H62" s="36"/>
      <c r="I62" s="73" t="s">
        <v>26</v>
      </c>
      <c r="J62" s="73" t="s">
        <v>21</v>
      </c>
      <c r="K62" s="73" t="s">
        <v>30</v>
      </c>
      <c r="L62" s="39">
        <v>0.5194444444444445</v>
      </c>
      <c r="M62" s="39">
        <v>0.55</v>
      </c>
      <c r="N62" s="36"/>
    </row>
    <row r="63">
      <c r="A63" s="36"/>
      <c r="B63" s="43">
        <v>46088.0</v>
      </c>
      <c r="C63" s="36"/>
      <c r="D63" s="73" t="s">
        <v>165</v>
      </c>
      <c r="E63" s="46" t="s">
        <v>260</v>
      </c>
      <c r="F63" s="74" t="s">
        <v>18</v>
      </c>
      <c r="G63" s="36"/>
      <c r="H63" s="36"/>
      <c r="I63" s="73" t="s">
        <v>40</v>
      </c>
      <c r="J63" s="73" t="s">
        <v>21</v>
      </c>
      <c r="K63" s="73" t="s">
        <v>30</v>
      </c>
      <c r="L63" s="36"/>
      <c r="M63" s="36"/>
      <c r="N63" s="36"/>
    </row>
    <row r="64">
      <c r="A64" s="36"/>
      <c r="B64" s="55">
        <v>46091.0</v>
      </c>
      <c r="C64" s="39">
        <v>0.7381944444444445</v>
      </c>
      <c r="D64" s="73" t="s">
        <v>157</v>
      </c>
      <c r="E64" s="37" t="s">
        <v>261</v>
      </c>
      <c r="F64" s="74" t="s">
        <v>18</v>
      </c>
      <c r="G64" s="36"/>
      <c r="H64" s="36"/>
      <c r="I64" s="73" t="s">
        <v>40</v>
      </c>
      <c r="J64" s="73" t="s">
        <v>21</v>
      </c>
      <c r="K64" s="73" t="s">
        <v>30</v>
      </c>
      <c r="L64" s="36"/>
      <c r="M64" s="36"/>
      <c r="N64" s="36"/>
    </row>
    <row r="65">
      <c r="A65" s="36"/>
      <c r="B65" s="55">
        <v>46094.0</v>
      </c>
      <c r="C65" s="39">
        <v>0.4979166666666667</v>
      </c>
      <c r="D65" s="73" t="s">
        <v>152</v>
      </c>
      <c r="E65" s="37" t="s">
        <v>262</v>
      </c>
      <c r="F65" s="74" t="s">
        <v>18</v>
      </c>
      <c r="G65" s="36"/>
      <c r="H65" s="36"/>
      <c r="I65" s="73" t="s">
        <v>136</v>
      </c>
      <c r="J65" s="73" t="s">
        <v>21</v>
      </c>
      <c r="K65" s="73" t="s">
        <v>30</v>
      </c>
      <c r="L65" s="36"/>
      <c r="M65" s="36"/>
      <c r="N65" s="36"/>
    </row>
    <row r="66">
      <c r="A66" s="36"/>
      <c r="B66" s="55">
        <v>46094.0</v>
      </c>
      <c r="C66" s="39">
        <v>0.54375</v>
      </c>
      <c r="D66" s="73" t="s">
        <v>200</v>
      </c>
      <c r="E66" s="37" t="s">
        <v>263</v>
      </c>
      <c r="F66" s="74" t="s">
        <v>18</v>
      </c>
      <c r="G66" s="36"/>
      <c r="H66" s="36"/>
      <c r="I66" s="73" t="s">
        <v>20</v>
      </c>
      <c r="J66" s="73" t="s">
        <v>21</v>
      </c>
      <c r="K66" s="73" t="s">
        <v>76</v>
      </c>
      <c r="L66" s="36"/>
      <c r="M66" s="36"/>
      <c r="N66" s="36"/>
    </row>
    <row r="67">
      <c r="A67" s="36"/>
      <c r="B67" s="78">
        <v>46095.0</v>
      </c>
      <c r="C67" s="39">
        <v>0.5055555555555555</v>
      </c>
      <c r="D67" s="73" t="s">
        <v>264</v>
      </c>
      <c r="E67" s="37" t="s">
        <v>116</v>
      </c>
      <c r="F67" s="74" t="s">
        <v>18</v>
      </c>
      <c r="G67" s="36"/>
      <c r="H67" s="36"/>
      <c r="I67" s="73" t="s">
        <v>20</v>
      </c>
      <c r="J67" s="73" t="s">
        <v>21</v>
      </c>
      <c r="K67" s="73" t="s">
        <v>76</v>
      </c>
      <c r="L67" s="36"/>
      <c r="M67" s="36"/>
      <c r="N67" s="36"/>
    </row>
    <row r="68">
      <c r="A68" s="36"/>
      <c r="B68" s="78">
        <v>46096.0</v>
      </c>
      <c r="C68" s="39">
        <v>0.5673611111111111</v>
      </c>
      <c r="D68" s="73" t="s">
        <v>149</v>
      </c>
      <c r="E68" s="37" t="s">
        <v>265</v>
      </c>
      <c r="F68" s="74" t="s">
        <v>18</v>
      </c>
      <c r="G68" s="36"/>
      <c r="H68" s="37" t="s">
        <v>266</v>
      </c>
      <c r="I68" s="73" t="s">
        <v>26</v>
      </c>
      <c r="J68" s="73" t="s">
        <v>21</v>
      </c>
      <c r="K68" s="73" t="s">
        <v>30</v>
      </c>
      <c r="L68" s="39">
        <v>0.5673611111111111</v>
      </c>
      <c r="M68" s="39">
        <v>0.6222222222222222</v>
      </c>
      <c r="N68" s="36"/>
    </row>
    <row r="69">
      <c r="A69" s="36"/>
      <c r="B69" s="76">
        <v>46097.0</v>
      </c>
      <c r="C69" s="39">
        <v>0.45555555555555555</v>
      </c>
      <c r="D69" s="73" t="s">
        <v>200</v>
      </c>
      <c r="E69" s="37" t="s">
        <v>267</v>
      </c>
      <c r="F69" s="74" t="s">
        <v>18</v>
      </c>
      <c r="G69" s="36"/>
      <c r="H69" s="36"/>
      <c r="I69" s="73" t="s">
        <v>103</v>
      </c>
      <c r="J69" s="73" t="s">
        <v>21</v>
      </c>
      <c r="K69" s="73" t="s">
        <v>22</v>
      </c>
      <c r="L69" s="39">
        <v>0.4576388888888889</v>
      </c>
      <c r="M69" s="39">
        <v>0.46597222222222223</v>
      </c>
      <c r="N69" s="36"/>
    </row>
    <row r="70">
      <c r="A70" s="36"/>
      <c r="B70" s="76">
        <v>46098.0</v>
      </c>
      <c r="C70" s="39">
        <v>0.5541666666666667</v>
      </c>
      <c r="D70" s="73" t="s">
        <v>196</v>
      </c>
      <c r="E70" s="37" t="s">
        <v>268</v>
      </c>
      <c r="F70" s="74" t="s">
        <v>18</v>
      </c>
      <c r="G70" s="36"/>
      <c r="H70" s="36"/>
      <c r="I70" s="73" t="s">
        <v>40</v>
      </c>
      <c r="J70" s="73" t="s">
        <v>21</v>
      </c>
      <c r="K70" s="73" t="s">
        <v>30</v>
      </c>
      <c r="L70" s="39">
        <v>0.5548611111111111</v>
      </c>
      <c r="M70" s="39">
        <v>0.5659722222222222</v>
      </c>
      <c r="N70" s="36"/>
    </row>
    <row r="71">
      <c r="A71" s="36"/>
      <c r="B71" s="76">
        <v>46099.0</v>
      </c>
      <c r="C71" s="39">
        <v>0.6659722222222222</v>
      </c>
      <c r="D71" s="73" t="s">
        <v>149</v>
      </c>
      <c r="E71" s="37" t="s">
        <v>269</v>
      </c>
      <c r="F71" s="74" t="s">
        <v>18</v>
      </c>
      <c r="G71" s="36"/>
      <c r="H71" s="37" t="s">
        <v>270</v>
      </c>
      <c r="I71" s="73" t="s">
        <v>26</v>
      </c>
      <c r="J71" s="73" t="s">
        <v>21</v>
      </c>
      <c r="K71" s="73" t="s">
        <v>22</v>
      </c>
      <c r="L71" s="39">
        <v>0.6666666666666666</v>
      </c>
      <c r="M71" s="39">
        <v>0.6784722222222223</v>
      </c>
      <c r="N71" s="36"/>
    </row>
    <row r="72">
      <c r="A72" s="36"/>
      <c r="B72" s="76">
        <v>46099.0</v>
      </c>
      <c r="C72" s="39">
        <v>0.7111111111111111</v>
      </c>
      <c r="D72" s="73" t="s">
        <v>149</v>
      </c>
      <c r="E72" s="37" t="s">
        <v>271</v>
      </c>
      <c r="F72" s="74" t="s">
        <v>18</v>
      </c>
      <c r="G72" s="40" t="s">
        <v>272</v>
      </c>
      <c r="H72" s="79" t="s">
        <v>273</v>
      </c>
      <c r="I72" s="73" t="s">
        <v>26</v>
      </c>
      <c r="J72" s="73" t="s">
        <v>21</v>
      </c>
      <c r="K72" s="73" t="s">
        <v>81</v>
      </c>
      <c r="L72" s="39">
        <v>0.7118055555555556</v>
      </c>
      <c r="M72" s="39">
        <v>0.7229166666666667</v>
      </c>
      <c r="N72" s="36"/>
    </row>
    <row r="73">
      <c r="A73" s="36"/>
      <c r="B73" s="76">
        <v>46099.0</v>
      </c>
      <c r="C73" s="39">
        <v>0.7895833333333333</v>
      </c>
      <c r="D73" s="73" t="s">
        <v>160</v>
      </c>
      <c r="E73" s="37" t="s">
        <v>274</v>
      </c>
      <c r="F73" s="74" t="s">
        <v>18</v>
      </c>
      <c r="G73" s="36"/>
      <c r="H73" s="36"/>
      <c r="I73" s="73" t="s">
        <v>26</v>
      </c>
      <c r="J73" s="73" t="s">
        <v>21</v>
      </c>
      <c r="K73" s="73" t="s">
        <v>275</v>
      </c>
      <c r="L73" s="39">
        <v>0.7895833333333333</v>
      </c>
      <c r="M73" s="39">
        <v>0.8319444444444445</v>
      </c>
      <c r="N73" s="36"/>
    </row>
    <row r="74">
      <c r="A74" s="36"/>
      <c r="B74" s="76">
        <v>46099.0</v>
      </c>
      <c r="C74" s="39">
        <v>0.9645833333333333</v>
      </c>
      <c r="D74" s="73" t="s">
        <v>165</v>
      </c>
      <c r="E74" s="37" t="s">
        <v>276</v>
      </c>
      <c r="F74" s="74" t="s">
        <v>18</v>
      </c>
      <c r="G74" s="36"/>
      <c r="H74" s="36"/>
      <c r="I74" s="73" t="s">
        <v>26</v>
      </c>
      <c r="J74" s="73" t="s">
        <v>21</v>
      </c>
      <c r="K74" s="73" t="s">
        <v>22</v>
      </c>
      <c r="L74" s="39">
        <v>0.9645833333333333</v>
      </c>
      <c r="M74" s="39">
        <v>0.9736111111111111</v>
      </c>
      <c r="N74" s="36"/>
    </row>
    <row r="75">
      <c r="A75" s="36"/>
      <c r="B75" s="76">
        <v>46099.0</v>
      </c>
      <c r="C75" s="39">
        <v>0.9659722222222222</v>
      </c>
      <c r="D75" s="73" t="s">
        <v>200</v>
      </c>
      <c r="E75" s="37" t="s">
        <v>277</v>
      </c>
      <c r="F75" s="74" t="s">
        <v>18</v>
      </c>
      <c r="G75" s="36"/>
      <c r="H75" s="36"/>
      <c r="I75" s="73" t="s">
        <v>26</v>
      </c>
      <c r="J75" s="73" t="s">
        <v>21</v>
      </c>
      <c r="K75" s="73" t="s">
        <v>22</v>
      </c>
      <c r="L75" s="39">
        <v>0.9659722222222222</v>
      </c>
      <c r="M75" s="39">
        <v>0.9736111111111111</v>
      </c>
      <c r="N75" s="36"/>
    </row>
    <row r="76">
      <c r="A76" s="36"/>
      <c r="B76" s="76">
        <v>46099.0</v>
      </c>
      <c r="C76" s="39">
        <v>0.003472222222222222</v>
      </c>
      <c r="D76" s="73" t="s">
        <v>152</v>
      </c>
      <c r="E76" s="37" t="s">
        <v>277</v>
      </c>
      <c r="F76" s="74" t="s">
        <v>18</v>
      </c>
      <c r="G76" s="36"/>
      <c r="H76" s="36"/>
      <c r="I76" s="73" t="s">
        <v>26</v>
      </c>
      <c r="J76" s="73" t="s">
        <v>21</v>
      </c>
      <c r="K76" s="73" t="s">
        <v>22</v>
      </c>
      <c r="L76" s="36"/>
      <c r="M76" s="36"/>
      <c r="N76" s="36"/>
    </row>
    <row r="77">
      <c r="A77" s="36"/>
      <c r="B77" s="76">
        <v>46099.0</v>
      </c>
      <c r="C77" s="39">
        <v>0.3951388888888889</v>
      </c>
      <c r="D77" s="73" t="s">
        <v>149</v>
      </c>
      <c r="E77" s="37" t="s">
        <v>271</v>
      </c>
      <c r="F77" s="74" t="s">
        <v>18</v>
      </c>
      <c r="G77" s="36"/>
      <c r="H77" s="37" t="s">
        <v>278</v>
      </c>
      <c r="I77" s="73" t="s">
        <v>136</v>
      </c>
      <c r="J77" s="73" t="s">
        <v>21</v>
      </c>
      <c r="K77" s="73" t="s">
        <v>30</v>
      </c>
      <c r="L77" s="39">
        <v>0.3951388888888889</v>
      </c>
      <c r="M77" s="39">
        <v>0.40902777777777777</v>
      </c>
      <c r="N77" s="36"/>
    </row>
    <row r="78">
      <c r="A78" s="36"/>
      <c r="B78" s="76">
        <v>46100.0</v>
      </c>
      <c r="C78" s="39">
        <v>0.5083333333333333</v>
      </c>
      <c r="D78" s="73" t="s">
        <v>177</v>
      </c>
      <c r="E78" s="37" t="s">
        <v>279</v>
      </c>
      <c r="F78" s="74" t="s">
        <v>18</v>
      </c>
      <c r="G78" s="36"/>
      <c r="H78" s="36"/>
      <c r="I78" s="73" t="s">
        <v>26</v>
      </c>
      <c r="J78" s="73" t="s">
        <v>21</v>
      </c>
      <c r="K78" s="73" t="s">
        <v>22</v>
      </c>
      <c r="L78" s="39">
        <v>0.5111111111111111</v>
      </c>
      <c r="M78" s="39">
        <v>0.5305555555555556</v>
      </c>
      <c r="N78" s="36"/>
    </row>
    <row r="79">
      <c r="A79" s="36"/>
      <c r="B79" s="76">
        <v>46100.0</v>
      </c>
      <c r="C79" s="39">
        <v>0.6305555555555555</v>
      </c>
      <c r="D79" s="73" t="s">
        <v>149</v>
      </c>
      <c r="E79" s="37" t="s">
        <v>280</v>
      </c>
      <c r="F79" s="74" t="s">
        <v>18</v>
      </c>
      <c r="G79" s="36"/>
      <c r="H79" s="36"/>
      <c r="I79" s="73" t="s">
        <v>40</v>
      </c>
      <c r="J79" s="73" t="s">
        <v>21</v>
      </c>
      <c r="K79" s="73" t="s">
        <v>124</v>
      </c>
      <c r="L79" s="39">
        <v>0.63125</v>
      </c>
      <c r="M79" s="39">
        <v>0.6444444444444445</v>
      </c>
      <c r="N79" s="36"/>
    </row>
    <row r="80" ht="36.75" customHeight="1">
      <c r="A80" s="36"/>
      <c r="B80" s="76">
        <v>46104.0</v>
      </c>
      <c r="C80" s="36"/>
      <c r="D80" s="73" t="s">
        <v>165</v>
      </c>
      <c r="E80" s="37" t="s">
        <v>281</v>
      </c>
      <c r="F80" s="74" t="s">
        <v>18</v>
      </c>
      <c r="G80" s="36"/>
      <c r="H80" s="40" t="s">
        <v>282</v>
      </c>
      <c r="I80" s="73" t="s">
        <v>26</v>
      </c>
      <c r="J80" s="73" t="s">
        <v>21</v>
      </c>
      <c r="K80" s="73" t="s">
        <v>22</v>
      </c>
      <c r="L80" s="39">
        <v>0.3458333333333333</v>
      </c>
      <c r="M80" s="39">
        <v>0.34930555555555554</v>
      </c>
      <c r="N80" s="36"/>
    </row>
    <row r="81">
      <c r="B81" s="76">
        <v>46104.0</v>
      </c>
      <c r="C81" s="56">
        <v>0.5111111111111111</v>
      </c>
      <c r="D81" s="80" t="s">
        <v>165</v>
      </c>
      <c r="E81" s="58" t="s">
        <v>283</v>
      </c>
      <c r="F81" s="74" t="s">
        <v>18</v>
      </c>
      <c r="H81" s="58" t="s">
        <v>284</v>
      </c>
      <c r="I81" s="80" t="s">
        <v>26</v>
      </c>
      <c r="J81" s="80" t="s">
        <v>21</v>
      </c>
      <c r="K81" s="73" t="s">
        <v>30</v>
      </c>
      <c r="L81" s="56">
        <v>0.5118055555555555</v>
      </c>
      <c r="M81" s="56">
        <v>0.6631944444444444</v>
      </c>
    </row>
    <row r="82">
      <c r="B82" s="76">
        <v>46104.0</v>
      </c>
      <c r="C82" s="56">
        <v>0.9659722222222222</v>
      </c>
      <c r="D82" s="80" t="s">
        <v>200</v>
      </c>
      <c r="E82" s="58" t="s">
        <v>285</v>
      </c>
      <c r="F82" s="74" t="s">
        <v>18</v>
      </c>
      <c r="I82" s="80"/>
      <c r="J82" s="80"/>
    </row>
    <row r="83">
      <c r="B83" s="81"/>
      <c r="D83" s="80"/>
      <c r="E83" s="58"/>
      <c r="F83" s="82"/>
      <c r="I83" s="80"/>
      <c r="J83" s="80"/>
    </row>
    <row r="84">
      <c r="B84" s="81"/>
      <c r="D84" s="80"/>
      <c r="E84" s="58"/>
      <c r="F84" s="82"/>
      <c r="I84" s="80"/>
      <c r="J84" s="80"/>
    </row>
    <row r="85">
      <c r="B85" s="81"/>
      <c r="D85" s="80"/>
      <c r="E85" s="58"/>
      <c r="F85" s="82"/>
      <c r="I85" s="80"/>
      <c r="J85" s="80"/>
    </row>
    <row r="86">
      <c r="B86" s="81"/>
      <c r="D86" s="80"/>
      <c r="E86" s="58"/>
      <c r="F86" s="82"/>
      <c r="I86" s="80"/>
      <c r="J86" s="80"/>
    </row>
    <row r="87">
      <c r="B87" s="81"/>
      <c r="D87" s="80"/>
      <c r="E87" s="58"/>
      <c r="F87" s="82"/>
      <c r="I87" s="80"/>
      <c r="J87" s="80"/>
    </row>
    <row r="88">
      <c r="B88" s="81"/>
      <c r="D88" s="80"/>
      <c r="E88" s="58"/>
      <c r="F88" s="82"/>
      <c r="I88" s="80"/>
      <c r="J88" s="80"/>
    </row>
    <row r="89">
      <c r="B89" s="81"/>
      <c r="D89" s="80"/>
      <c r="E89" s="58"/>
      <c r="F89" s="82"/>
      <c r="I89" s="80"/>
      <c r="J89" s="80"/>
    </row>
    <row r="90">
      <c r="B90" s="81"/>
      <c r="D90" s="80"/>
      <c r="E90" s="58"/>
      <c r="F90" s="82"/>
      <c r="I90" s="80"/>
      <c r="J90" s="80"/>
    </row>
    <row r="91">
      <c r="B91" s="81"/>
      <c r="D91" s="80"/>
      <c r="E91" s="58"/>
      <c r="F91" s="82"/>
      <c r="I91" s="80"/>
      <c r="J91" s="80"/>
    </row>
    <row r="92">
      <c r="B92" s="81"/>
      <c r="D92" s="80"/>
      <c r="E92" s="58"/>
      <c r="F92" s="82"/>
      <c r="I92" s="80"/>
      <c r="J92" s="80"/>
    </row>
    <row r="93">
      <c r="B93" s="81"/>
      <c r="D93" s="80"/>
      <c r="E93" s="58"/>
      <c r="F93" s="82"/>
      <c r="I93" s="80"/>
      <c r="J93" s="80"/>
    </row>
    <row r="94">
      <c r="B94" s="81"/>
      <c r="D94" s="80"/>
      <c r="E94" s="58"/>
      <c r="F94" s="82"/>
      <c r="I94" s="80"/>
      <c r="J94" s="80"/>
    </row>
    <row r="95">
      <c r="B95" s="81"/>
      <c r="D95" s="80"/>
      <c r="E95" s="58"/>
      <c r="F95" s="82"/>
      <c r="I95" s="80"/>
      <c r="J95" s="80"/>
    </row>
    <row r="96">
      <c r="B96" s="81"/>
      <c r="D96" s="80"/>
      <c r="E96" s="58"/>
      <c r="F96" s="82"/>
      <c r="I96" s="80"/>
      <c r="J96" s="80"/>
    </row>
    <row r="97">
      <c r="B97" s="81"/>
      <c r="D97" s="80"/>
      <c r="E97" s="58"/>
      <c r="F97" s="82"/>
      <c r="I97" s="80"/>
      <c r="J97" s="80"/>
    </row>
    <row r="98">
      <c r="B98" s="81"/>
      <c r="D98" s="80"/>
      <c r="E98" s="58"/>
      <c r="F98" s="82"/>
      <c r="I98" s="80"/>
      <c r="J98" s="80"/>
    </row>
    <row r="99">
      <c r="B99" s="81"/>
      <c r="D99" s="80"/>
      <c r="E99" s="58"/>
      <c r="F99" s="82"/>
      <c r="I99" s="80"/>
      <c r="J99" s="80"/>
    </row>
  </sheetData>
  <mergeCells count="1">
    <mergeCell ref="A35:O35"/>
  </mergeCells>
  <dataValidations>
    <dataValidation type="list" allowBlank="1" sqref="I2:I32">
      <formula1>"Alif,Tim Dev,Aji,OMded,amel,Febryano/Bewok,Vanny,Dedy Dan Ali"</formula1>
    </dataValidation>
    <dataValidation type="list" allowBlank="1" sqref="D39:D53 D60:D99">
      <formula1>"klaten,Pemalang,Semua Site/Global,Pekalongan,Ungaran,Salatiga,Gombong,Kebumen,Solo"</formula1>
    </dataValidation>
    <dataValidation type="list" allowBlank="1" sqref="I39:I53 I60:I99">
      <formula1>"Alif,Tim Dev,Aji,OMded,amel,Febryano/Bewok,Vanny,Dedy Dan Ali,Rama,Rendy"</formula1>
    </dataValidation>
    <dataValidation type="custom" allowBlank="1" showDropDown="1" sqref="L2:L32 O2:O32">
      <formula1>OR(TIMEVALUE(TEXT(L2, "hh:mm:ss"))=L2, AND(ISNUMBER(L2), LEFT(CELL("format", L2))="D"))</formula1>
    </dataValidation>
    <dataValidation type="list" allowBlank="1" sqref="D2:D32">
      <formula1>"klaten,Pemalang,Semua Site/Global,Pekalongan,Ungaran,Salatiga,Gombong,Kebumen,Solo"</formula1>
    </dataValidation>
    <dataValidation type="list" allowBlank="1" sqref="K39:K53 K60:K81">
      <formula1>"COS,RUNCHISE,VOUCHER,SIAGI,HADRAWE,NETWORK,Top Up Saldo"</formula1>
    </dataValidation>
    <dataValidation type="list" allowBlank="1" sqref="K2:K32">
      <formula1>"COS,RUNCHISE,VOUCHER,SIAGI,HADRAWE,NETWORK"</formula1>
    </dataValidation>
    <dataValidation type="custom" allowBlank="1" showDropDown="1" sqref="A2:A32">
      <formula1>AND(ISNUMBER(A2),(NOT(OR(NOT(ISERROR(DATEVALUE(A2))), AND(ISNUMBER(A2), LEFT(CELL("format", A2))="D")))))</formula1>
    </dataValidation>
    <dataValidation type="list" allowBlank="1" sqref="J2:J32">
      <formula1>"Solved,Unsorved,On Hold"</formula1>
    </dataValidation>
    <dataValidation type="list" allowBlank="1" sqref="J39:J53 J60:J99">
      <formula1>"Solved,Unsorved,On Hold"</formula1>
    </dataValidation>
  </dataValidation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5" max="5" width="41.25"/>
    <col customWidth="1" min="6" max="6" width="17.0"/>
    <col customWidth="1" min="7" max="8" width="47.75"/>
    <col customWidth="1" min="11" max="11" width="15.75"/>
    <col customWidth="1" min="13" max="13" width="16.88"/>
    <col customWidth="1" min="14" max="14" width="32.13"/>
    <col customWidth="1" min="15" max="15" width="25.88"/>
  </cols>
  <sheetData>
    <row r="1" ht="22.5" customHeight="1">
      <c r="A1" s="6" t="s">
        <v>1</v>
      </c>
      <c r="B1" s="6" t="s">
        <v>2</v>
      </c>
      <c r="C1" s="6" t="s">
        <v>3</v>
      </c>
      <c r="D1" s="6" t="s">
        <v>4</v>
      </c>
      <c r="E1" s="7" t="s">
        <v>147</v>
      </c>
      <c r="F1" s="6" t="s">
        <v>6</v>
      </c>
      <c r="G1" s="6" t="s">
        <v>148</v>
      </c>
      <c r="H1" s="6" t="s">
        <v>286</v>
      </c>
      <c r="I1" s="7" t="s">
        <v>9</v>
      </c>
      <c r="J1" s="6" t="s">
        <v>10</v>
      </c>
      <c r="K1" s="8" t="s">
        <v>11</v>
      </c>
      <c r="L1" s="8" t="s">
        <v>12</v>
      </c>
      <c r="M1" s="6" t="s">
        <v>13</v>
      </c>
      <c r="N1" s="7" t="s">
        <v>14</v>
      </c>
      <c r="O1" s="6" t="s">
        <v>15</v>
      </c>
      <c r="P1" s="3"/>
      <c r="Q1" s="3"/>
      <c r="R1" s="3"/>
      <c r="S1" s="3"/>
      <c r="T1" s="3"/>
      <c r="U1" s="3"/>
      <c r="V1" s="3"/>
      <c r="W1" s="3"/>
      <c r="X1" s="3"/>
      <c r="Y1" s="3"/>
      <c r="Z1" s="3"/>
      <c r="AA1" s="3"/>
      <c r="AB1" s="3"/>
    </row>
    <row r="2" ht="22.5" customHeight="1">
      <c r="A2" s="60">
        <v>1.0</v>
      </c>
      <c r="B2" s="17">
        <v>46082.0</v>
      </c>
      <c r="C2" s="11">
        <v>0.6416666666666667</v>
      </c>
      <c r="D2" s="12" t="s">
        <v>287</v>
      </c>
      <c r="E2" s="13" t="s">
        <v>288</v>
      </c>
      <c r="F2" s="14" t="s">
        <v>18</v>
      </c>
      <c r="G2" s="14"/>
      <c r="H2" s="14" t="s">
        <v>289</v>
      </c>
      <c r="I2" s="12" t="s">
        <v>20</v>
      </c>
      <c r="J2" s="12" t="s">
        <v>21</v>
      </c>
      <c r="K2" s="12" t="s">
        <v>22</v>
      </c>
      <c r="L2" s="19"/>
      <c r="M2" s="15"/>
      <c r="N2" s="15"/>
      <c r="O2" s="19"/>
    </row>
    <row r="3" ht="22.5" customHeight="1">
      <c r="A3" s="60">
        <v>2.0</v>
      </c>
      <c r="B3" s="17">
        <v>46174.0</v>
      </c>
      <c r="C3" s="11"/>
      <c r="D3" s="12" t="s">
        <v>287</v>
      </c>
      <c r="E3" s="14" t="s">
        <v>290</v>
      </c>
      <c r="F3" s="14" t="s">
        <v>18</v>
      </c>
      <c r="G3" s="13"/>
      <c r="H3" s="13" t="s">
        <v>291</v>
      </c>
      <c r="I3" s="12" t="s">
        <v>72</v>
      </c>
      <c r="J3" s="12" t="s">
        <v>21</v>
      </c>
      <c r="K3" s="12" t="s">
        <v>22</v>
      </c>
      <c r="L3" s="19"/>
      <c r="M3" s="15"/>
      <c r="N3" s="15"/>
      <c r="O3" s="19"/>
    </row>
    <row r="4" ht="22.5" customHeight="1">
      <c r="A4" s="60">
        <v>3.0</v>
      </c>
      <c r="B4" s="17">
        <v>46174.0</v>
      </c>
      <c r="C4" s="11">
        <v>0.7736111111111111</v>
      </c>
      <c r="D4" s="12" t="s">
        <v>287</v>
      </c>
      <c r="E4" s="13" t="s">
        <v>292</v>
      </c>
      <c r="F4" s="14" t="s">
        <v>18</v>
      </c>
      <c r="G4" s="13"/>
      <c r="H4" s="13" t="s">
        <v>293</v>
      </c>
      <c r="I4" s="12" t="s">
        <v>20</v>
      </c>
      <c r="J4" s="12" t="s">
        <v>21</v>
      </c>
      <c r="K4" s="12" t="s">
        <v>124</v>
      </c>
      <c r="L4" s="11">
        <v>0.7743055555555556</v>
      </c>
      <c r="M4" s="11">
        <v>0.7861111111111111</v>
      </c>
      <c r="N4" s="15"/>
      <c r="O4" s="19"/>
    </row>
    <row r="5" ht="22.5" customHeight="1">
      <c r="A5" s="60">
        <v>4.0</v>
      </c>
      <c r="B5" s="17">
        <v>46235.0</v>
      </c>
      <c r="C5" s="11">
        <v>0.41458333333333336</v>
      </c>
      <c r="D5" s="12" t="s">
        <v>287</v>
      </c>
      <c r="E5" s="13" t="s">
        <v>294</v>
      </c>
      <c r="F5" s="14" t="s">
        <v>18</v>
      </c>
      <c r="G5" s="15"/>
      <c r="H5" s="15"/>
      <c r="I5" s="12" t="s">
        <v>20</v>
      </c>
      <c r="J5" s="12" t="s">
        <v>21</v>
      </c>
      <c r="K5" s="12" t="s">
        <v>124</v>
      </c>
      <c r="L5" s="11">
        <v>0.41458333333333336</v>
      </c>
      <c r="M5" s="11">
        <v>0.4375</v>
      </c>
      <c r="N5" s="15"/>
      <c r="O5" s="19"/>
    </row>
    <row r="6" ht="22.5" customHeight="1">
      <c r="A6" s="60">
        <v>5.0</v>
      </c>
      <c r="B6" s="17">
        <v>46235.0</v>
      </c>
      <c r="C6" s="11">
        <v>0.4388888888888889</v>
      </c>
      <c r="D6" s="12" t="s">
        <v>287</v>
      </c>
      <c r="E6" s="13" t="s">
        <v>295</v>
      </c>
      <c r="F6" s="14" t="s">
        <v>18</v>
      </c>
      <c r="G6" s="14"/>
      <c r="H6" s="14" t="s">
        <v>296</v>
      </c>
      <c r="I6" s="12" t="s">
        <v>40</v>
      </c>
      <c r="J6" s="12" t="s">
        <v>21</v>
      </c>
      <c r="K6" s="12" t="s">
        <v>22</v>
      </c>
      <c r="L6" s="11">
        <v>0.4409722222222222</v>
      </c>
      <c r="M6" s="11">
        <v>0.46041666666666664</v>
      </c>
      <c r="N6" s="15"/>
      <c r="O6" s="19"/>
    </row>
    <row r="7" ht="22.5" customHeight="1">
      <c r="A7" s="60">
        <v>6.0</v>
      </c>
      <c r="B7" s="13" t="s">
        <v>55</v>
      </c>
      <c r="C7" s="11">
        <v>0.91875</v>
      </c>
      <c r="D7" s="12" t="s">
        <v>297</v>
      </c>
      <c r="E7" s="14" t="s">
        <v>298</v>
      </c>
      <c r="F7" s="14" t="s">
        <v>18</v>
      </c>
      <c r="G7" s="13"/>
      <c r="H7" s="13" t="s">
        <v>299</v>
      </c>
      <c r="I7" s="12" t="s">
        <v>44</v>
      </c>
      <c r="J7" s="12" t="s">
        <v>21</v>
      </c>
      <c r="K7" s="12" t="s">
        <v>22</v>
      </c>
      <c r="L7" s="11">
        <v>0.9354166666666667</v>
      </c>
      <c r="M7" s="11">
        <v>0.9375</v>
      </c>
      <c r="N7" s="15"/>
      <c r="O7" s="19"/>
    </row>
    <row r="8" ht="22.5" customHeight="1">
      <c r="A8" s="60">
        <v>7.0</v>
      </c>
      <c r="B8" s="13" t="s">
        <v>189</v>
      </c>
      <c r="C8" s="11">
        <v>0.45555555555555555</v>
      </c>
      <c r="D8" s="12" t="s">
        <v>287</v>
      </c>
      <c r="E8" s="14" t="s">
        <v>300</v>
      </c>
      <c r="F8" s="14" t="s">
        <v>18</v>
      </c>
      <c r="G8" s="13"/>
      <c r="H8" s="13" t="s">
        <v>301</v>
      </c>
      <c r="I8" s="12" t="s">
        <v>62</v>
      </c>
      <c r="J8" s="12" t="s">
        <v>21</v>
      </c>
      <c r="K8" s="12" t="s">
        <v>124</v>
      </c>
      <c r="L8" s="11">
        <v>0.45694444444444443</v>
      </c>
      <c r="M8" s="15"/>
      <c r="N8" s="15"/>
      <c r="O8" s="19"/>
    </row>
    <row r="9" ht="22.5" customHeight="1">
      <c r="A9" s="60">
        <v>8.0</v>
      </c>
      <c r="B9" s="13" t="s">
        <v>302</v>
      </c>
      <c r="C9" s="11">
        <v>0.6388888888888888</v>
      </c>
      <c r="D9" s="12" t="s">
        <v>297</v>
      </c>
      <c r="E9" s="14" t="s">
        <v>303</v>
      </c>
      <c r="F9" s="14" t="s">
        <v>18</v>
      </c>
      <c r="G9" s="14"/>
      <c r="H9" s="14" t="s">
        <v>304</v>
      </c>
      <c r="I9" s="12" t="s">
        <v>20</v>
      </c>
      <c r="J9" s="12" t="s">
        <v>21</v>
      </c>
      <c r="K9" s="12" t="s">
        <v>22</v>
      </c>
      <c r="L9" s="11">
        <v>0.6388888888888888</v>
      </c>
      <c r="M9" s="11">
        <v>0.6597222222222222</v>
      </c>
      <c r="N9" s="15"/>
      <c r="O9" s="19"/>
    </row>
    <row r="10" ht="22.5" customHeight="1">
      <c r="A10" s="60">
        <v>9.0</v>
      </c>
      <c r="B10" s="61" t="s">
        <v>305</v>
      </c>
      <c r="C10" s="11">
        <v>0.9743055555555555</v>
      </c>
      <c r="D10" s="12" t="s">
        <v>287</v>
      </c>
      <c r="E10" s="83" t="s">
        <v>70</v>
      </c>
      <c r="F10" s="15"/>
      <c r="G10" s="13"/>
      <c r="H10" s="13" t="s">
        <v>306</v>
      </c>
      <c r="I10" s="12" t="s">
        <v>307</v>
      </c>
      <c r="J10" s="12" t="s">
        <v>21</v>
      </c>
      <c r="K10" s="12" t="s">
        <v>54</v>
      </c>
      <c r="L10" s="11">
        <v>0.9763888888888889</v>
      </c>
      <c r="M10" s="11">
        <v>0.9763888888888889</v>
      </c>
      <c r="N10" s="15"/>
      <c r="O10" s="19"/>
    </row>
    <row r="11" ht="22.5" customHeight="1">
      <c r="A11" s="60">
        <v>10.0</v>
      </c>
      <c r="B11" s="13" t="s">
        <v>66</v>
      </c>
      <c r="C11" s="11">
        <v>0.9743055555555555</v>
      </c>
      <c r="D11" s="12" t="s">
        <v>308</v>
      </c>
      <c r="E11" s="83" t="s">
        <v>70</v>
      </c>
      <c r="F11" s="15"/>
      <c r="G11" s="13"/>
      <c r="H11" s="13" t="s">
        <v>306</v>
      </c>
      <c r="I11" s="12" t="s">
        <v>307</v>
      </c>
      <c r="J11" s="12" t="s">
        <v>21</v>
      </c>
      <c r="K11" s="12" t="s">
        <v>54</v>
      </c>
      <c r="L11" s="11">
        <v>0.9763888888888889</v>
      </c>
      <c r="M11" s="11">
        <v>0.9833333333333333</v>
      </c>
      <c r="N11" s="15"/>
      <c r="O11" s="19"/>
    </row>
    <row r="12" ht="22.5" customHeight="1">
      <c r="A12" s="60">
        <v>11.0</v>
      </c>
      <c r="B12" s="13" t="s">
        <v>66</v>
      </c>
      <c r="C12" s="11">
        <v>0.9743055555555555</v>
      </c>
      <c r="D12" s="12" t="s">
        <v>297</v>
      </c>
      <c r="E12" s="83" t="s">
        <v>70</v>
      </c>
      <c r="F12" s="15"/>
      <c r="G12" s="13"/>
      <c r="H12" s="13" t="s">
        <v>306</v>
      </c>
      <c r="I12" s="12" t="s">
        <v>307</v>
      </c>
      <c r="J12" s="12" t="s">
        <v>21</v>
      </c>
      <c r="K12" s="12" t="s">
        <v>54</v>
      </c>
      <c r="L12" s="11">
        <v>0.9763888888888889</v>
      </c>
      <c r="M12" s="11">
        <v>0.9833333333333333</v>
      </c>
      <c r="N12" s="15"/>
      <c r="O12" s="19"/>
    </row>
    <row r="13" ht="22.5" customHeight="1">
      <c r="A13" s="60">
        <v>12.0</v>
      </c>
      <c r="B13" s="13" t="s">
        <v>226</v>
      </c>
      <c r="C13" s="11">
        <v>0.33402777777777776</v>
      </c>
      <c r="D13" s="12" t="s">
        <v>297</v>
      </c>
      <c r="E13" s="13" t="s">
        <v>309</v>
      </c>
      <c r="F13" s="15"/>
      <c r="G13" s="13" t="s">
        <v>228</v>
      </c>
      <c r="H13" s="66" t="s">
        <v>229</v>
      </c>
      <c r="I13" s="12" t="s">
        <v>26</v>
      </c>
      <c r="J13" s="12" t="s">
        <v>21</v>
      </c>
      <c r="K13" s="12" t="s">
        <v>81</v>
      </c>
      <c r="L13" s="11">
        <v>0.33958333333333335</v>
      </c>
      <c r="M13" s="11">
        <v>0.4236111111111111</v>
      </c>
      <c r="N13" s="13" t="s">
        <v>230</v>
      </c>
      <c r="O13" s="19"/>
    </row>
    <row r="14" ht="22.5" customHeight="1">
      <c r="A14" s="60">
        <v>13.0</v>
      </c>
      <c r="B14" s="13" t="s">
        <v>73</v>
      </c>
      <c r="C14" s="11">
        <v>0.36944444444444446</v>
      </c>
      <c r="D14" s="12" t="s">
        <v>287</v>
      </c>
      <c r="E14" s="13" t="s">
        <v>310</v>
      </c>
      <c r="F14" s="15"/>
      <c r="G14" s="14"/>
      <c r="H14" s="14" t="s">
        <v>311</v>
      </c>
      <c r="I14" s="12" t="s">
        <v>62</v>
      </c>
      <c r="J14" s="12" t="s">
        <v>21</v>
      </c>
      <c r="K14" s="12" t="s">
        <v>124</v>
      </c>
      <c r="L14" s="11">
        <v>0.37083333333333335</v>
      </c>
      <c r="M14" s="11">
        <v>0.375</v>
      </c>
      <c r="N14" s="15"/>
      <c r="O14" s="19"/>
    </row>
    <row r="16">
      <c r="A16" s="84" t="s">
        <v>312</v>
      </c>
    </row>
    <row r="20" ht="22.5" customHeight="1">
      <c r="A20" s="6" t="s">
        <v>1</v>
      </c>
      <c r="B20" s="6" t="s">
        <v>2</v>
      </c>
      <c r="C20" s="6" t="s">
        <v>3</v>
      </c>
      <c r="D20" s="6" t="s">
        <v>4</v>
      </c>
      <c r="E20" s="7" t="s">
        <v>147</v>
      </c>
      <c r="F20" s="6" t="s">
        <v>6</v>
      </c>
      <c r="G20" s="6" t="s">
        <v>236</v>
      </c>
      <c r="H20" s="6" t="s">
        <v>286</v>
      </c>
      <c r="I20" s="7" t="s">
        <v>9</v>
      </c>
      <c r="J20" s="6" t="s">
        <v>10</v>
      </c>
      <c r="K20" s="8" t="s">
        <v>11</v>
      </c>
      <c r="L20" s="8" t="s">
        <v>12</v>
      </c>
      <c r="M20" s="6" t="s">
        <v>13</v>
      </c>
      <c r="N20" s="7" t="s">
        <v>14</v>
      </c>
      <c r="O20" s="6" t="s">
        <v>15</v>
      </c>
      <c r="P20" s="3"/>
      <c r="Q20" s="3"/>
      <c r="R20" s="3"/>
      <c r="S20" s="3"/>
      <c r="T20" s="3"/>
      <c r="U20" s="3"/>
      <c r="V20" s="3"/>
      <c r="W20" s="3"/>
      <c r="X20" s="3"/>
      <c r="Y20" s="3"/>
      <c r="Z20" s="3"/>
      <c r="AA20" s="3"/>
      <c r="AB20" s="3"/>
    </row>
    <row r="21" ht="22.5" customHeight="1">
      <c r="A21" s="85">
        <v>1.0</v>
      </c>
      <c r="B21" s="86">
        <v>46055.0</v>
      </c>
      <c r="C21" s="87">
        <v>0.5083333333333333</v>
      </c>
      <c r="D21" s="88" t="s">
        <v>308</v>
      </c>
      <c r="E21" s="89" t="s">
        <v>313</v>
      </c>
      <c r="F21" s="14" t="s">
        <v>18</v>
      </c>
      <c r="G21" s="90" t="s">
        <v>83</v>
      </c>
      <c r="H21" s="90" t="s">
        <v>84</v>
      </c>
      <c r="I21" s="88" t="s">
        <v>20</v>
      </c>
      <c r="J21" s="88" t="s">
        <v>21</v>
      </c>
      <c r="K21" s="88" t="s">
        <v>22</v>
      </c>
      <c r="L21" s="87">
        <v>0.5125</v>
      </c>
      <c r="M21" s="87">
        <v>0.5229166666666667</v>
      </c>
      <c r="N21" s="91"/>
      <c r="O21" s="92"/>
      <c r="P21" s="93"/>
      <c r="Q21" s="93"/>
      <c r="R21" s="93"/>
      <c r="S21" s="93"/>
      <c r="T21" s="93"/>
      <c r="U21" s="93"/>
      <c r="V21" s="93"/>
      <c r="W21" s="93"/>
      <c r="X21" s="93"/>
      <c r="Y21" s="93"/>
      <c r="Z21" s="93"/>
      <c r="AA21" s="93"/>
      <c r="AB21" s="93"/>
    </row>
    <row r="22" ht="22.5" customHeight="1">
      <c r="A22" s="85">
        <v>2.0</v>
      </c>
      <c r="B22" s="86">
        <v>46055.0</v>
      </c>
      <c r="C22" s="87">
        <v>0.5930555555555556</v>
      </c>
      <c r="D22" s="88" t="s">
        <v>287</v>
      </c>
      <c r="E22" s="89" t="s">
        <v>314</v>
      </c>
      <c r="F22" s="14" t="s">
        <v>18</v>
      </c>
      <c r="G22" s="90" t="s">
        <v>83</v>
      </c>
      <c r="H22" s="90" t="s">
        <v>84</v>
      </c>
      <c r="I22" s="88" t="s">
        <v>20</v>
      </c>
      <c r="J22" s="88" t="s">
        <v>21</v>
      </c>
      <c r="K22" s="88" t="s">
        <v>22</v>
      </c>
      <c r="L22" s="87">
        <v>0.5944444444444444</v>
      </c>
      <c r="M22" s="87">
        <v>0.5965277777777778</v>
      </c>
      <c r="N22" s="91"/>
      <c r="O22" s="92"/>
    </row>
    <row r="23" ht="22.5" customHeight="1">
      <c r="A23" s="85">
        <v>3.0</v>
      </c>
      <c r="B23" s="86">
        <v>46056.0</v>
      </c>
      <c r="C23" s="87">
        <v>0.6680555555555555</v>
      </c>
      <c r="D23" s="88" t="s">
        <v>297</v>
      </c>
      <c r="E23" s="89" t="s">
        <v>315</v>
      </c>
      <c r="F23" s="14" t="s">
        <v>18</v>
      </c>
      <c r="G23" s="89" t="s">
        <v>316</v>
      </c>
      <c r="H23" s="89" t="s">
        <v>317</v>
      </c>
      <c r="I23" s="88" t="s">
        <v>72</v>
      </c>
      <c r="J23" s="88" t="s">
        <v>21</v>
      </c>
      <c r="K23" s="88" t="s">
        <v>22</v>
      </c>
      <c r="L23" s="87">
        <v>0.6722222222222223</v>
      </c>
      <c r="M23" s="87">
        <v>0.6777777777777778</v>
      </c>
      <c r="N23" s="91"/>
      <c r="O23" s="92"/>
    </row>
    <row r="24" ht="22.5" customHeight="1">
      <c r="A24" s="85"/>
      <c r="B24" s="94">
        <v>46063.0</v>
      </c>
      <c r="C24" s="91"/>
      <c r="D24" s="88" t="s">
        <v>287</v>
      </c>
      <c r="E24" s="22" t="s">
        <v>318</v>
      </c>
      <c r="F24" s="14" t="s">
        <v>18</v>
      </c>
      <c r="G24" s="91"/>
      <c r="H24" s="91"/>
      <c r="I24" s="88" t="s">
        <v>40</v>
      </c>
      <c r="J24" s="88" t="s">
        <v>21</v>
      </c>
      <c r="K24" s="95"/>
      <c r="L24" s="92"/>
      <c r="M24" s="91"/>
      <c r="N24" s="91"/>
      <c r="O24" s="92"/>
    </row>
    <row r="25" ht="22.5" customHeight="1">
      <c r="A25" s="85">
        <v>5.0</v>
      </c>
      <c r="B25" s="94">
        <v>46065.0</v>
      </c>
      <c r="C25" s="91"/>
      <c r="D25" s="88" t="s">
        <v>319</v>
      </c>
      <c r="E25" s="65" t="s">
        <v>320</v>
      </c>
      <c r="F25" s="14" t="s">
        <v>18</v>
      </c>
      <c r="G25" s="91"/>
      <c r="H25" s="91"/>
      <c r="I25" s="88" t="s">
        <v>40</v>
      </c>
      <c r="J25" s="88" t="s">
        <v>21</v>
      </c>
      <c r="K25" s="88" t="s">
        <v>22</v>
      </c>
      <c r="L25" s="92"/>
      <c r="M25" s="91"/>
      <c r="N25" s="91"/>
      <c r="O25" s="92"/>
    </row>
    <row r="26" ht="22.5" customHeight="1">
      <c r="A26" s="85">
        <v>7.0</v>
      </c>
      <c r="B26" s="94">
        <v>46074.0</v>
      </c>
      <c r="C26" s="91"/>
      <c r="D26" s="88" t="s">
        <v>297</v>
      </c>
      <c r="E26" s="22" t="s">
        <v>321</v>
      </c>
      <c r="F26" s="14" t="s">
        <v>18</v>
      </c>
      <c r="G26" s="91"/>
      <c r="H26" s="96" t="s">
        <v>322</v>
      </c>
      <c r="I26" s="88" t="s">
        <v>26</v>
      </c>
      <c r="J26" s="88" t="s">
        <v>21</v>
      </c>
      <c r="K26" s="88" t="s">
        <v>22</v>
      </c>
      <c r="L26" s="92"/>
      <c r="M26" s="91"/>
      <c r="N26" s="91"/>
      <c r="O26" s="92"/>
    </row>
    <row r="27" ht="22.5" customHeight="1">
      <c r="A27" s="85">
        <v>8.0</v>
      </c>
      <c r="B27" s="94">
        <v>46079.0</v>
      </c>
      <c r="C27" s="87">
        <v>0.5458333333333333</v>
      </c>
      <c r="D27" s="88" t="s">
        <v>308</v>
      </c>
      <c r="E27" s="22" t="s">
        <v>323</v>
      </c>
      <c r="F27" s="14" t="s">
        <v>18</v>
      </c>
      <c r="G27" s="96" t="s">
        <v>324</v>
      </c>
      <c r="H27" s="89" t="s">
        <v>325</v>
      </c>
      <c r="I27" s="88" t="s">
        <v>232</v>
      </c>
      <c r="J27" s="88" t="s">
        <v>21</v>
      </c>
      <c r="K27" s="88" t="s">
        <v>22</v>
      </c>
      <c r="L27" s="87">
        <v>0.5479166666666667</v>
      </c>
      <c r="M27" s="87">
        <v>0.55</v>
      </c>
      <c r="N27" s="91"/>
      <c r="O27" s="92"/>
    </row>
    <row r="28" ht="22.5" customHeight="1">
      <c r="A28" s="85">
        <v>9.0</v>
      </c>
      <c r="B28" s="86">
        <v>46079.0</v>
      </c>
      <c r="C28" s="87">
        <v>0.6</v>
      </c>
      <c r="D28" s="88" t="s">
        <v>297</v>
      </c>
      <c r="E28" s="22" t="s">
        <v>326</v>
      </c>
      <c r="F28" s="14" t="s">
        <v>18</v>
      </c>
      <c r="G28" s="91"/>
      <c r="H28" s="96" t="s">
        <v>327</v>
      </c>
      <c r="I28" s="88" t="s">
        <v>40</v>
      </c>
      <c r="J28" s="88" t="s">
        <v>21</v>
      </c>
      <c r="K28" s="88" t="s">
        <v>30</v>
      </c>
      <c r="L28" s="87">
        <v>0.6006944444444444</v>
      </c>
      <c r="M28" s="87">
        <v>0.6034722222222222</v>
      </c>
      <c r="N28" s="91"/>
      <c r="O28" s="92"/>
    </row>
    <row r="29" ht="22.5" customHeight="1">
      <c r="A29" s="85">
        <v>10.0</v>
      </c>
      <c r="B29" s="96" t="s">
        <v>328</v>
      </c>
      <c r="C29" s="87">
        <v>0.011111111111111112</v>
      </c>
      <c r="D29" s="88" t="s">
        <v>297</v>
      </c>
      <c r="E29" s="89" t="s">
        <v>329</v>
      </c>
      <c r="F29" s="14" t="s">
        <v>18</v>
      </c>
      <c r="G29" s="89" t="s">
        <v>330</v>
      </c>
      <c r="H29" s="89" t="s">
        <v>331</v>
      </c>
      <c r="I29" s="88" t="s">
        <v>20</v>
      </c>
      <c r="J29" s="88" t="s">
        <v>21</v>
      </c>
      <c r="K29" s="88" t="s">
        <v>22</v>
      </c>
      <c r="L29" s="87">
        <v>0.011805555555555555</v>
      </c>
      <c r="M29" s="87">
        <v>0.04652777777777778</v>
      </c>
      <c r="N29" s="91"/>
      <c r="O29" s="92"/>
    </row>
    <row r="30" ht="22.5" customHeight="1">
      <c r="A30" s="85">
        <v>11.0</v>
      </c>
      <c r="B30" s="97" t="s">
        <v>328</v>
      </c>
      <c r="C30" s="87">
        <v>0.6451388888888889</v>
      </c>
      <c r="D30" s="88" t="s">
        <v>308</v>
      </c>
      <c r="E30" s="89" t="s">
        <v>332</v>
      </c>
      <c r="F30" s="14" t="s">
        <v>18</v>
      </c>
      <c r="G30" s="91"/>
      <c r="H30" s="91"/>
      <c r="I30" s="88" t="s">
        <v>40</v>
      </c>
      <c r="J30" s="88" t="s">
        <v>21</v>
      </c>
      <c r="K30" s="88" t="s">
        <v>30</v>
      </c>
      <c r="L30" s="87">
        <v>0.6395833333333333</v>
      </c>
      <c r="M30" s="87">
        <v>0.6423611111111112</v>
      </c>
      <c r="N30" s="91"/>
      <c r="O30" s="92"/>
    </row>
    <row r="31" ht="22.5" customHeight="1">
      <c r="A31" s="85">
        <v>12.0</v>
      </c>
      <c r="B31" s="98">
        <v>46096.0</v>
      </c>
      <c r="C31" s="87">
        <v>0.9118055555555555</v>
      </c>
      <c r="D31" s="88" t="s">
        <v>308</v>
      </c>
      <c r="E31" s="89" t="s">
        <v>333</v>
      </c>
      <c r="F31" s="14" t="s">
        <v>18</v>
      </c>
      <c r="G31" s="91"/>
      <c r="H31" s="91"/>
      <c r="I31" s="88" t="s">
        <v>40</v>
      </c>
      <c r="J31" s="88" t="s">
        <v>21</v>
      </c>
      <c r="K31" s="88" t="s">
        <v>22</v>
      </c>
      <c r="L31" s="87">
        <v>0.9131944444444444</v>
      </c>
      <c r="M31" s="87">
        <v>0.9993055555555556</v>
      </c>
      <c r="N31" s="91"/>
      <c r="O31" s="92"/>
    </row>
    <row r="32" ht="22.5" customHeight="1">
      <c r="A32" s="85">
        <v>13.0</v>
      </c>
      <c r="B32" s="86">
        <v>46099.0</v>
      </c>
      <c r="C32" s="87">
        <v>0.42083333333333334</v>
      </c>
      <c r="D32" s="88" t="s">
        <v>287</v>
      </c>
      <c r="E32" s="89" t="s">
        <v>334</v>
      </c>
      <c r="F32" s="14" t="s">
        <v>18</v>
      </c>
      <c r="G32" s="91"/>
      <c r="H32" s="91"/>
      <c r="I32" s="88" t="s">
        <v>103</v>
      </c>
      <c r="J32" s="88" t="s">
        <v>21</v>
      </c>
      <c r="K32" s="88" t="s">
        <v>124</v>
      </c>
      <c r="L32" s="87">
        <v>0.42083333333333334</v>
      </c>
      <c r="M32" s="87">
        <v>0.49236111111111114</v>
      </c>
      <c r="N32" s="91"/>
      <c r="O32" s="92"/>
    </row>
    <row r="33" ht="22.5" customHeight="1">
      <c r="A33" s="85">
        <v>14.0</v>
      </c>
      <c r="B33" s="86">
        <v>46100.0</v>
      </c>
      <c r="C33" s="87">
        <v>0.6048611111111111</v>
      </c>
      <c r="D33" s="88" t="s">
        <v>287</v>
      </c>
      <c r="E33" s="89" t="s">
        <v>335</v>
      </c>
      <c r="F33" s="14" t="s">
        <v>18</v>
      </c>
      <c r="G33" s="91"/>
      <c r="H33" s="91"/>
      <c r="I33" s="88" t="s">
        <v>26</v>
      </c>
      <c r="J33" s="88" t="s">
        <v>21</v>
      </c>
      <c r="K33" s="88" t="s">
        <v>124</v>
      </c>
      <c r="L33" s="87">
        <v>0.6055555555555555</v>
      </c>
      <c r="M33" s="87">
        <v>0.6159722222222223</v>
      </c>
      <c r="N33" s="91"/>
      <c r="O33" s="92"/>
    </row>
    <row r="34" ht="22.5" customHeight="1">
      <c r="A34" s="85">
        <v>15.0</v>
      </c>
      <c r="B34" s="86">
        <v>46100.0</v>
      </c>
      <c r="C34" s="87">
        <v>0.8291666666666667</v>
      </c>
      <c r="D34" s="88" t="s">
        <v>287</v>
      </c>
      <c r="E34" s="89" t="s">
        <v>336</v>
      </c>
      <c r="F34" s="14" t="s">
        <v>18</v>
      </c>
      <c r="G34" s="91"/>
      <c r="H34" s="96" t="s">
        <v>337</v>
      </c>
      <c r="I34" s="88" t="s">
        <v>26</v>
      </c>
      <c r="J34" s="88" t="s">
        <v>21</v>
      </c>
      <c r="K34" s="88" t="s">
        <v>81</v>
      </c>
      <c r="L34" s="87">
        <v>0.8298611111111112</v>
      </c>
      <c r="M34" s="87">
        <v>0.8465277777777778</v>
      </c>
      <c r="N34" s="91"/>
      <c r="O34" s="92"/>
    </row>
    <row r="35" ht="22.5" customHeight="1">
      <c r="A35" s="99"/>
      <c r="B35" s="86">
        <v>46104.0</v>
      </c>
      <c r="C35" s="100">
        <v>0.6604166666666667</v>
      </c>
      <c r="D35" s="101" t="s">
        <v>297</v>
      </c>
      <c r="E35" s="50" t="s">
        <v>338</v>
      </c>
      <c r="F35" s="14" t="s">
        <v>18</v>
      </c>
      <c r="G35" s="102"/>
      <c r="H35" s="103"/>
      <c r="I35" s="101" t="s">
        <v>136</v>
      </c>
      <c r="J35" s="101" t="s">
        <v>21</v>
      </c>
      <c r="K35" s="101" t="s">
        <v>22</v>
      </c>
      <c r="L35" s="100">
        <v>0.6604166666666667</v>
      </c>
      <c r="M35" s="100">
        <v>0.6638888888888889</v>
      </c>
      <c r="N35" s="102"/>
      <c r="O35" s="104"/>
    </row>
    <row r="36" ht="22.5" customHeight="1">
      <c r="A36" s="99"/>
      <c r="B36" s="105"/>
      <c r="C36" s="100"/>
      <c r="D36" s="101"/>
      <c r="E36" s="50"/>
      <c r="F36" s="52"/>
      <c r="G36" s="102"/>
      <c r="H36" s="103"/>
      <c r="I36" s="101"/>
      <c r="J36" s="101"/>
      <c r="K36" s="101"/>
      <c r="L36" s="100"/>
      <c r="M36" s="100"/>
      <c r="N36" s="102"/>
      <c r="O36" s="104"/>
    </row>
    <row r="37" ht="22.5" customHeight="1">
      <c r="A37" s="99"/>
      <c r="B37" s="105"/>
      <c r="C37" s="100"/>
      <c r="D37" s="101"/>
      <c r="E37" s="50"/>
      <c r="F37" s="52"/>
      <c r="G37" s="102"/>
      <c r="H37" s="103"/>
      <c r="I37" s="101"/>
      <c r="J37" s="101"/>
      <c r="K37" s="101"/>
      <c r="L37" s="100"/>
      <c r="M37" s="100"/>
      <c r="N37" s="102"/>
      <c r="O37" s="104"/>
    </row>
    <row r="38" ht="22.5" customHeight="1">
      <c r="A38" s="99"/>
      <c r="B38" s="105"/>
      <c r="C38" s="100"/>
      <c r="D38" s="101"/>
      <c r="E38" s="50"/>
      <c r="F38" s="52"/>
      <c r="G38" s="102"/>
      <c r="H38" s="103"/>
      <c r="I38" s="101"/>
      <c r="J38" s="101"/>
      <c r="K38" s="101"/>
      <c r="L38" s="100"/>
      <c r="M38" s="100"/>
      <c r="N38" s="102"/>
      <c r="O38" s="104"/>
    </row>
    <row r="39" ht="22.5" customHeight="1">
      <c r="A39" s="99"/>
      <c r="B39" s="105"/>
      <c r="C39" s="100"/>
      <c r="D39" s="101"/>
      <c r="E39" s="50"/>
      <c r="F39" s="52"/>
      <c r="G39" s="102"/>
      <c r="H39" s="103"/>
      <c r="I39" s="101"/>
      <c r="J39" s="101"/>
      <c r="K39" s="101"/>
      <c r="L39" s="100"/>
      <c r="M39" s="100"/>
      <c r="N39" s="102"/>
      <c r="O39" s="104"/>
    </row>
    <row r="40" ht="22.5" customHeight="1">
      <c r="A40" s="99"/>
      <c r="B40" s="105"/>
      <c r="C40" s="100"/>
      <c r="D40" s="101"/>
      <c r="E40" s="50"/>
      <c r="F40" s="52"/>
      <c r="G40" s="102"/>
      <c r="H40" s="103"/>
      <c r="I40" s="101"/>
      <c r="J40" s="101"/>
      <c r="K40" s="101"/>
      <c r="L40" s="100"/>
      <c r="M40" s="100"/>
      <c r="N40" s="102"/>
      <c r="O40" s="104"/>
    </row>
    <row r="41" ht="22.5" customHeight="1">
      <c r="A41" s="99"/>
      <c r="B41" s="105"/>
      <c r="C41" s="100"/>
      <c r="D41" s="101"/>
      <c r="E41" s="50"/>
      <c r="F41" s="52"/>
      <c r="G41" s="102"/>
      <c r="H41" s="103"/>
      <c r="I41" s="101"/>
      <c r="J41" s="101"/>
      <c r="K41" s="101"/>
      <c r="L41" s="100"/>
      <c r="M41" s="100"/>
      <c r="N41" s="102"/>
      <c r="O41" s="104"/>
    </row>
    <row r="42" ht="22.5" customHeight="1">
      <c r="A42" s="99"/>
      <c r="B42" s="105"/>
      <c r="C42" s="100"/>
      <c r="D42" s="101"/>
      <c r="E42" s="50"/>
      <c r="F42" s="52"/>
      <c r="G42" s="102"/>
      <c r="H42" s="103"/>
      <c r="I42" s="101"/>
      <c r="J42" s="101"/>
      <c r="K42" s="101"/>
      <c r="L42" s="100"/>
      <c r="M42" s="100"/>
      <c r="N42" s="102"/>
      <c r="O42" s="104"/>
    </row>
    <row r="43" ht="22.5" customHeight="1">
      <c r="A43" s="99"/>
      <c r="B43" s="105"/>
      <c r="C43" s="100"/>
      <c r="D43" s="101"/>
      <c r="E43" s="50"/>
      <c r="F43" s="52"/>
      <c r="G43" s="102"/>
      <c r="H43" s="103"/>
      <c r="I43" s="101"/>
      <c r="J43" s="101"/>
      <c r="K43" s="101"/>
      <c r="L43" s="100"/>
      <c r="M43" s="100"/>
      <c r="N43" s="102"/>
      <c r="O43" s="104"/>
    </row>
    <row r="44" ht="22.5" customHeight="1">
      <c r="A44" s="99"/>
      <c r="B44" s="105"/>
      <c r="C44" s="100"/>
      <c r="D44" s="101"/>
      <c r="E44" s="50"/>
      <c r="F44" s="52"/>
      <c r="G44" s="102"/>
      <c r="H44" s="103"/>
      <c r="I44" s="101"/>
      <c r="J44" s="101"/>
      <c r="K44" s="101"/>
      <c r="L44" s="100"/>
      <c r="M44" s="100"/>
      <c r="N44" s="102"/>
      <c r="O44" s="104"/>
    </row>
    <row r="45" ht="22.5" customHeight="1">
      <c r="A45" s="99"/>
      <c r="B45" s="105"/>
      <c r="C45" s="100"/>
      <c r="D45" s="101"/>
      <c r="E45" s="50"/>
      <c r="F45" s="52"/>
      <c r="G45" s="102"/>
      <c r="H45" s="103"/>
      <c r="I45" s="101"/>
      <c r="J45" s="101"/>
      <c r="K45" s="101"/>
      <c r="L45" s="100"/>
      <c r="M45" s="100"/>
      <c r="N45" s="102"/>
      <c r="O45" s="104"/>
    </row>
    <row r="46" ht="22.5" customHeight="1">
      <c r="A46" s="99"/>
      <c r="B46" s="105"/>
      <c r="C46" s="100"/>
      <c r="D46" s="101"/>
      <c r="E46" s="50"/>
      <c r="F46" s="52"/>
      <c r="G46" s="102"/>
      <c r="H46" s="103"/>
      <c r="I46" s="101"/>
      <c r="J46" s="101"/>
      <c r="K46" s="101"/>
      <c r="L46" s="100"/>
      <c r="M46" s="100"/>
      <c r="N46" s="102"/>
      <c r="O46" s="104"/>
    </row>
    <row r="47" ht="22.5" customHeight="1">
      <c r="A47" s="99"/>
      <c r="B47" s="105"/>
      <c r="C47" s="100"/>
      <c r="D47" s="101"/>
      <c r="E47" s="50"/>
      <c r="F47" s="52"/>
      <c r="G47" s="102"/>
      <c r="H47" s="103"/>
      <c r="I47" s="101"/>
      <c r="J47" s="101"/>
      <c r="K47" s="101"/>
      <c r="L47" s="100"/>
      <c r="M47" s="100"/>
      <c r="N47" s="102"/>
      <c r="O47" s="104"/>
    </row>
    <row r="48" ht="22.5" customHeight="1">
      <c r="A48" s="99"/>
      <c r="B48" s="105"/>
      <c r="C48" s="100"/>
      <c r="D48" s="101"/>
      <c r="E48" s="50"/>
      <c r="F48" s="52"/>
      <c r="G48" s="102"/>
      <c r="H48" s="103"/>
      <c r="I48" s="101"/>
      <c r="J48" s="101"/>
      <c r="K48" s="101"/>
      <c r="L48" s="100"/>
      <c r="M48" s="100"/>
      <c r="N48" s="102"/>
      <c r="O48" s="104"/>
    </row>
    <row r="49" ht="22.5" customHeight="1">
      <c r="A49" s="99"/>
      <c r="B49" s="105"/>
      <c r="C49" s="100"/>
      <c r="D49" s="101"/>
      <c r="E49" s="50"/>
      <c r="F49" s="52"/>
      <c r="G49" s="102"/>
      <c r="H49" s="103"/>
      <c r="I49" s="101"/>
      <c r="J49" s="101"/>
      <c r="K49" s="101"/>
      <c r="L49" s="100"/>
      <c r="M49" s="100"/>
      <c r="N49" s="102"/>
      <c r="O49" s="104"/>
    </row>
    <row r="50" ht="22.5" customHeight="1">
      <c r="A50" s="99"/>
      <c r="B50" s="105"/>
      <c r="C50" s="100"/>
      <c r="D50" s="101"/>
      <c r="E50" s="50"/>
      <c r="F50" s="52"/>
      <c r="G50" s="102"/>
      <c r="H50" s="103"/>
      <c r="I50" s="101"/>
      <c r="J50" s="101"/>
      <c r="K50" s="101"/>
      <c r="L50" s="100"/>
      <c r="M50" s="100"/>
      <c r="N50" s="102"/>
      <c r="O50" s="104"/>
    </row>
  </sheetData>
  <mergeCells count="1">
    <mergeCell ref="A16:O17"/>
  </mergeCells>
  <dataValidations>
    <dataValidation type="list" allowBlank="1" sqref="I21:I50">
      <formula1>"Alif,Tim Dev,Aji,OMded,amel,Febryano/Bewok,Vanny,Dedy dan alif,Rama,Rendy"</formula1>
    </dataValidation>
    <dataValidation type="custom" allowBlank="1" showDropDown="1" sqref="L2:L14 O2:O14 L21:L50 O21:O50">
      <formula1>OR(TIMEVALUE(TEXT(L2, "hh:mm:ss"))=L2, AND(ISNUMBER(L2), LEFT(CELL("format", L2))="D"))</formula1>
    </dataValidation>
    <dataValidation type="list" allowBlank="1" sqref="I2:I14">
      <formula1>"Alif,Tim Dev,Aji,OMded,amel,Febryano/Bewok,Vanny,Dedy dan alif"</formula1>
    </dataValidation>
    <dataValidation type="list" allowBlank="1" sqref="J2:J14 J21:J50">
      <formula1>"Solved,On Hold,On Progress"</formula1>
    </dataValidation>
    <dataValidation type="list" allowBlank="1" sqref="D2:D14 D21:D50">
      <formula1>"Nganjuk,Probolinggo,Semua Site/Global,Pasuruan ,Pasuruan,Kediri,Global"</formula1>
    </dataValidation>
    <dataValidation type="list" allowBlank="1" sqref="K2:K14 K21:K50">
      <formula1>"COS,RUNCHISE,VOUCHER,SIAGI,HADRAWE,NETWORK"</formula1>
    </dataValidation>
    <dataValidation type="custom" allowBlank="1" showDropDown="1" sqref="A2:A14 A21:A50">
      <formula1>AND(ISNUMBER(A2),(NOT(OR(NOT(ISERROR(DATEVALUE(A2))), AND(ISNUMBER(A2), LEFT(CELL("format", A2))="D")))))</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13.75"/>
    <col customWidth="1" min="4" max="4" width="36.63"/>
    <col customWidth="1" min="5" max="5" width="23.0"/>
    <col customWidth="1" min="11" max="11" width="20.63"/>
  </cols>
  <sheetData>
    <row r="1" ht="22.5" customHeight="1">
      <c r="A1" s="6" t="s">
        <v>1</v>
      </c>
      <c r="B1" s="6" t="s">
        <v>2</v>
      </c>
      <c r="C1" s="7" t="s">
        <v>339</v>
      </c>
      <c r="D1" s="7" t="s">
        <v>5</v>
      </c>
      <c r="E1" s="6" t="s">
        <v>8</v>
      </c>
      <c r="F1" s="7" t="s">
        <v>9</v>
      </c>
      <c r="G1" s="6" t="s">
        <v>10</v>
      </c>
      <c r="H1" s="8" t="s">
        <v>12</v>
      </c>
      <c r="I1" s="6" t="s">
        <v>13</v>
      </c>
      <c r="J1" s="7" t="s">
        <v>14</v>
      </c>
      <c r="K1" s="6" t="s">
        <v>15</v>
      </c>
      <c r="L1" s="3"/>
      <c r="M1" s="3"/>
      <c r="N1" s="3"/>
      <c r="O1" s="3"/>
      <c r="P1" s="3"/>
      <c r="Q1" s="3"/>
      <c r="R1" s="3"/>
      <c r="S1" s="3"/>
      <c r="T1" s="3"/>
      <c r="U1" s="3"/>
      <c r="V1" s="3"/>
      <c r="W1" s="3"/>
    </row>
    <row r="2" ht="22.5" customHeight="1">
      <c r="A2" s="60">
        <v>1.0</v>
      </c>
      <c r="B2" s="106">
        <v>46266.0</v>
      </c>
      <c r="C2" s="12" t="s">
        <v>33</v>
      </c>
      <c r="D2" s="14" t="s">
        <v>340</v>
      </c>
      <c r="E2" s="14" t="s">
        <v>341</v>
      </c>
      <c r="F2" s="12" t="s">
        <v>40</v>
      </c>
      <c r="G2" s="12" t="s">
        <v>21</v>
      </c>
      <c r="H2" s="19"/>
      <c r="I2" s="15"/>
      <c r="J2" s="15"/>
      <c r="K2" s="16"/>
    </row>
    <row r="3" ht="22.5" customHeight="1">
      <c r="A3" s="60">
        <v>2.0</v>
      </c>
      <c r="B3" s="107">
        <v>46357.0</v>
      </c>
      <c r="C3" s="12" t="s">
        <v>308</v>
      </c>
      <c r="D3" s="14" t="s">
        <v>342</v>
      </c>
      <c r="E3" s="13" t="s">
        <v>343</v>
      </c>
      <c r="F3" s="12" t="s">
        <v>40</v>
      </c>
      <c r="G3" s="12" t="s">
        <v>21</v>
      </c>
      <c r="H3" s="19"/>
      <c r="I3" s="15"/>
      <c r="J3" s="15"/>
      <c r="K3" s="16"/>
    </row>
    <row r="4" ht="22.5" customHeight="1">
      <c r="A4" s="60">
        <v>3.0</v>
      </c>
      <c r="B4" s="13" t="s">
        <v>344</v>
      </c>
      <c r="C4" s="12" t="s">
        <v>149</v>
      </c>
      <c r="D4" s="14" t="s">
        <v>345</v>
      </c>
      <c r="E4" s="15"/>
      <c r="F4" s="12" t="s">
        <v>40</v>
      </c>
      <c r="G4" s="12" t="s">
        <v>21</v>
      </c>
      <c r="H4" s="19"/>
      <c r="I4" s="15"/>
      <c r="J4" s="15"/>
      <c r="K4" s="16"/>
    </row>
    <row r="5" ht="22.5" customHeight="1">
      <c r="A5" s="60">
        <v>4.0</v>
      </c>
      <c r="B5" s="107">
        <v>46048.0</v>
      </c>
      <c r="C5" s="12" t="s">
        <v>23</v>
      </c>
      <c r="D5" s="13" t="s">
        <v>346</v>
      </c>
      <c r="E5" s="14" t="s">
        <v>347</v>
      </c>
      <c r="F5" s="12" t="s">
        <v>40</v>
      </c>
      <c r="G5" s="12" t="s">
        <v>21</v>
      </c>
      <c r="H5" s="19"/>
      <c r="I5" s="15"/>
      <c r="J5" s="15"/>
      <c r="K5" s="16"/>
    </row>
    <row r="6" ht="22.5" customHeight="1">
      <c r="A6" s="60">
        <v>5.0</v>
      </c>
      <c r="B6" s="107">
        <v>46048.0</v>
      </c>
      <c r="C6" s="12" t="s">
        <v>348</v>
      </c>
      <c r="D6" s="14" t="s">
        <v>349</v>
      </c>
      <c r="E6" s="13" t="s">
        <v>350</v>
      </c>
      <c r="F6" s="12" t="s">
        <v>40</v>
      </c>
      <c r="G6" s="12" t="s">
        <v>21</v>
      </c>
      <c r="H6" s="19"/>
      <c r="I6" s="15"/>
      <c r="J6" s="15"/>
      <c r="K6" s="16"/>
    </row>
    <row r="7" ht="22.5" customHeight="1">
      <c r="A7" s="108"/>
      <c r="B7" s="15"/>
      <c r="C7" s="69"/>
      <c r="D7" s="15"/>
      <c r="E7" s="15"/>
      <c r="F7" s="69"/>
      <c r="G7" s="109"/>
      <c r="H7" s="19"/>
      <c r="I7" s="15"/>
      <c r="J7" s="15"/>
      <c r="K7" s="16"/>
    </row>
    <row r="8" ht="22.5" customHeight="1">
      <c r="A8" s="108"/>
      <c r="B8" s="15"/>
      <c r="C8" s="69"/>
      <c r="D8" s="15"/>
      <c r="E8" s="15"/>
      <c r="F8" s="69"/>
      <c r="G8" s="109"/>
      <c r="H8" s="19"/>
      <c r="I8" s="15"/>
      <c r="J8" s="15"/>
      <c r="K8" s="16"/>
    </row>
    <row r="9" ht="22.5" customHeight="1">
      <c r="A9" s="108"/>
      <c r="B9" s="15"/>
      <c r="C9" s="69"/>
      <c r="D9" s="15"/>
      <c r="E9" s="15"/>
      <c r="F9" s="69"/>
      <c r="G9" s="109"/>
      <c r="H9" s="19"/>
      <c r="I9" s="15"/>
      <c r="J9" s="15"/>
      <c r="K9" s="16"/>
    </row>
    <row r="10" ht="22.5" customHeight="1">
      <c r="A10" s="108"/>
      <c r="B10" s="15"/>
      <c r="C10" s="69"/>
      <c r="D10" s="15"/>
      <c r="E10" s="15"/>
      <c r="F10" s="69"/>
      <c r="G10" s="12"/>
      <c r="H10" s="19"/>
      <c r="I10" s="15"/>
      <c r="J10" s="15"/>
      <c r="K10" s="16"/>
    </row>
    <row r="11" ht="22.5" customHeight="1">
      <c r="A11" s="108"/>
      <c r="B11" s="15"/>
      <c r="C11" s="69"/>
      <c r="D11" s="15"/>
      <c r="E11" s="15"/>
      <c r="F11" s="69"/>
      <c r="G11" s="12"/>
      <c r="H11" s="19"/>
      <c r="I11" s="15"/>
      <c r="J11" s="15"/>
      <c r="K11" s="16"/>
    </row>
    <row r="12" ht="22.5" customHeight="1">
      <c r="A12" s="108"/>
      <c r="B12" s="15"/>
      <c r="C12" s="69"/>
      <c r="D12" s="15"/>
      <c r="E12" s="15"/>
      <c r="F12" s="69"/>
      <c r="G12" s="12"/>
      <c r="H12" s="19"/>
      <c r="I12" s="15"/>
      <c r="J12" s="15"/>
      <c r="K12" s="16"/>
    </row>
    <row r="13" ht="22.5" customHeight="1">
      <c r="A13" s="108"/>
      <c r="B13" s="15"/>
      <c r="C13" s="69"/>
      <c r="D13" s="15"/>
      <c r="E13" s="15"/>
      <c r="F13" s="69"/>
      <c r="G13" s="12"/>
      <c r="H13" s="19"/>
      <c r="I13" s="15"/>
      <c r="J13" s="15"/>
      <c r="K13" s="16"/>
    </row>
    <row r="14" ht="22.5" customHeight="1">
      <c r="A14" s="108"/>
      <c r="B14" s="15"/>
      <c r="C14" s="69"/>
      <c r="D14" s="15"/>
      <c r="E14" s="15"/>
      <c r="F14" s="69"/>
      <c r="G14" s="12"/>
      <c r="H14" s="19"/>
      <c r="I14" s="15"/>
      <c r="J14" s="15"/>
      <c r="K14" s="16"/>
    </row>
    <row r="15" ht="22.5" customHeight="1">
      <c r="A15" s="108"/>
      <c r="B15" s="15"/>
      <c r="C15" s="69"/>
      <c r="D15" s="15"/>
      <c r="E15" s="15"/>
      <c r="F15" s="69"/>
      <c r="G15" s="12"/>
      <c r="H15" s="19"/>
      <c r="I15" s="15"/>
      <c r="J15" s="15"/>
      <c r="K15" s="16"/>
    </row>
    <row r="16" ht="22.5" customHeight="1">
      <c r="A16" s="108"/>
      <c r="B16" s="15"/>
      <c r="C16" s="69"/>
      <c r="D16" s="15"/>
      <c r="E16" s="15"/>
      <c r="F16" s="69"/>
      <c r="G16" s="12"/>
      <c r="H16" s="19"/>
      <c r="I16" s="15"/>
      <c r="J16" s="15"/>
      <c r="K16" s="16"/>
    </row>
    <row r="17" ht="22.5" customHeight="1">
      <c r="A17" s="108"/>
      <c r="B17" s="15"/>
      <c r="C17" s="69"/>
      <c r="D17" s="15"/>
      <c r="E17" s="15"/>
      <c r="F17" s="69"/>
      <c r="G17" s="12"/>
      <c r="H17" s="19"/>
      <c r="I17" s="15"/>
      <c r="J17" s="15"/>
      <c r="K17" s="16"/>
    </row>
    <row r="20">
      <c r="A20" s="110" t="s">
        <v>351</v>
      </c>
    </row>
    <row r="22">
      <c r="A22" s="111" t="s">
        <v>352</v>
      </c>
      <c r="B22" s="112">
        <f>COUNTA(D2:D1015)</f>
        <v>5</v>
      </c>
    </row>
  </sheetData>
  <mergeCells count="1">
    <mergeCell ref="A20:B20"/>
  </mergeCells>
  <dataValidations>
    <dataValidation type="custom" allowBlank="1" showDropDown="1" sqref="H2:H17">
      <formula1>OR(TIMEVALUE(TEXT(H2, "hh:mm:ss"))=H2, AND(ISNUMBER(H2), LEFT(CELL("format", H2))="D"))</formula1>
    </dataValidation>
    <dataValidation type="list" allowBlank="1" sqref="F2:F17">
      <formula1>"Alif,Tim Dev,Aji,OMded,amel,Febryano/Bewok,Vanny"</formula1>
    </dataValidation>
    <dataValidation type="list" allowBlank="1" sqref="G2:G17">
      <formula1>"Solved,On Hold,Progress"</formula1>
    </dataValidation>
    <dataValidation type="custom" allowBlank="1" showDropDown="1" sqref="A2:A17">
      <formula1>AND(ISNUMBER(A2),(NOT(OR(NOT(ISERROR(DATEVALUE(A2))), AND(ISNUMBER(A2), LEFT(CELL("format", A2))="D")))))</formula1>
    </dataValidation>
    <dataValidation allowBlank="1" showDropDown="1" sqref="K2:K17"/>
    <dataValidation type="list" allowBlank="1" sqref="C2:C17">
      <formula1>"Jalur,Cibadak,Garut,Indramayu,Cianjur,Subang,Klaten,Pemalang,Pekalongan ,Solo,Ungaran,Salatiga,Kebumen,Probolinggo,Nganjuk,Kediri,Pasuruan,Tim Tech Sams"</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5"/>
    <col customWidth="1" min="3" max="3" width="51.38"/>
    <col customWidth="1" min="5" max="5" width="5.88"/>
    <col customWidth="1" min="7" max="7" width="86.13"/>
    <col customWidth="1" min="8" max="8" width="60.75"/>
    <col customWidth="1" min="9" max="9" width="17.75"/>
    <col customWidth="1" min="11" max="11" width="5.88"/>
    <col customWidth="1" min="13" max="13" width="64.63"/>
  </cols>
  <sheetData>
    <row r="1">
      <c r="A1" s="113" t="s">
        <v>353</v>
      </c>
      <c r="E1" s="114"/>
      <c r="F1" s="115"/>
      <c r="G1" s="114"/>
      <c r="K1" s="23"/>
      <c r="L1" s="23"/>
      <c r="M1" s="23"/>
    </row>
    <row r="2">
      <c r="A2" s="113" t="s">
        <v>354</v>
      </c>
      <c r="E2" s="114"/>
      <c r="F2" s="115"/>
      <c r="G2" s="114"/>
      <c r="K2" s="23"/>
      <c r="L2" s="23"/>
      <c r="M2" s="23"/>
    </row>
    <row r="3">
      <c r="A3" s="116" t="s">
        <v>54</v>
      </c>
      <c r="E3" s="114" t="s">
        <v>355</v>
      </c>
      <c r="K3" s="23" t="s">
        <v>356</v>
      </c>
    </row>
    <row r="4">
      <c r="A4" s="117" t="s">
        <v>1</v>
      </c>
      <c r="B4" s="117" t="s">
        <v>357</v>
      </c>
      <c r="C4" s="117" t="s">
        <v>5</v>
      </c>
      <c r="E4" s="118" t="s">
        <v>1</v>
      </c>
      <c r="F4" s="119" t="s">
        <v>357</v>
      </c>
      <c r="G4" s="118" t="s">
        <v>5</v>
      </c>
      <c r="H4" s="120" t="s">
        <v>358</v>
      </c>
      <c r="I4" s="120" t="s">
        <v>11</v>
      </c>
      <c r="K4" s="118" t="s">
        <v>1</v>
      </c>
      <c r="L4" s="118" t="s">
        <v>357</v>
      </c>
      <c r="M4" s="118" t="s">
        <v>5</v>
      </c>
    </row>
    <row r="5">
      <c r="A5" s="121">
        <v>1.0</v>
      </c>
      <c r="B5" s="122" t="s">
        <v>37</v>
      </c>
      <c r="C5" s="123" t="s">
        <v>359</v>
      </c>
      <c r="E5" s="124">
        <v>1.0</v>
      </c>
      <c r="F5" s="125" t="s">
        <v>33</v>
      </c>
      <c r="G5" s="37" t="s">
        <v>360</v>
      </c>
      <c r="H5" s="126" t="s">
        <v>35</v>
      </c>
      <c r="I5" s="124" t="s">
        <v>22</v>
      </c>
      <c r="K5" s="37">
        <v>1.0</v>
      </c>
      <c r="L5" s="37" t="s">
        <v>23</v>
      </c>
      <c r="M5" s="37" t="s">
        <v>361</v>
      </c>
    </row>
    <row r="6">
      <c r="A6" s="121">
        <v>2.0</v>
      </c>
      <c r="B6" s="122" t="s">
        <v>37</v>
      </c>
      <c r="C6" s="123" t="s">
        <v>56</v>
      </c>
      <c r="E6" s="124">
        <v>2.0</v>
      </c>
      <c r="F6" s="125" t="s">
        <v>37</v>
      </c>
      <c r="G6" s="127" t="s">
        <v>362</v>
      </c>
      <c r="H6" s="126" t="s">
        <v>363</v>
      </c>
      <c r="I6" s="124" t="s">
        <v>22</v>
      </c>
      <c r="K6" s="37">
        <v>2.0</v>
      </c>
      <c r="L6" s="37" t="s">
        <v>23</v>
      </c>
      <c r="M6" s="40" t="s">
        <v>364</v>
      </c>
    </row>
    <row r="7">
      <c r="A7" s="121">
        <v>3.0</v>
      </c>
      <c r="B7" s="122" t="s">
        <v>152</v>
      </c>
      <c r="C7" s="123" t="s">
        <v>153</v>
      </c>
      <c r="E7" s="124">
        <v>3.0</v>
      </c>
      <c r="F7" s="125" t="s">
        <v>45</v>
      </c>
      <c r="G7" s="37" t="s">
        <v>365</v>
      </c>
      <c r="H7" s="73" t="s">
        <v>47</v>
      </c>
      <c r="I7" s="128" t="b">
        <v>0</v>
      </c>
      <c r="K7" s="37">
        <v>3.0</v>
      </c>
      <c r="L7" s="37" t="s">
        <v>366</v>
      </c>
      <c r="M7" s="73" t="s">
        <v>42</v>
      </c>
    </row>
    <row r="8">
      <c r="A8" s="121">
        <v>4.0</v>
      </c>
      <c r="B8" s="122" t="s">
        <v>177</v>
      </c>
      <c r="C8" s="123" t="s">
        <v>192</v>
      </c>
      <c r="E8" s="124">
        <v>4.0</v>
      </c>
      <c r="F8" s="125" t="s">
        <v>41</v>
      </c>
      <c r="G8" s="40" t="s">
        <v>49</v>
      </c>
      <c r="H8" s="126" t="s">
        <v>367</v>
      </c>
      <c r="I8" s="124" t="s">
        <v>22</v>
      </c>
      <c r="K8" s="37">
        <v>4.0</v>
      </c>
      <c r="L8" s="37" t="s">
        <v>160</v>
      </c>
      <c r="M8" s="37" t="s">
        <v>163</v>
      </c>
    </row>
    <row r="9">
      <c r="A9" s="121">
        <v>5.0</v>
      </c>
      <c r="B9" s="122" t="s">
        <v>165</v>
      </c>
      <c r="C9" s="123" t="s">
        <v>194</v>
      </c>
      <c r="E9" s="124">
        <v>5.0</v>
      </c>
      <c r="F9" s="125" t="s">
        <v>33</v>
      </c>
      <c r="G9" s="40" t="s">
        <v>57</v>
      </c>
      <c r="H9" s="126" t="s">
        <v>58</v>
      </c>
      <c r="I9" s="124" t="s">
        <v>22</v>
      </c>
      <c r="K9" s="37">
        <v>5.0</v>
      </c>
      <c r="L9" s="37" t="s">
        <v>165</v>
      </c>
      <c r="M9" s="37" t="s">
        <v>166</v>
      </c>
    </row>
    <row r="10">
      <c r="A10" s="121">
        <v>6.0</v>
      </c>
      <c r="B10" s="122" t="s">
        <v>368</v>
      </c>
      <c r="C10" s="123" t="s">
        <v>369</v>
      </c>
      <c r="E10" s="124">
        <v>6.0</v>
      </c>
      <c r="F10" s="125" t="s">
        <v>370</v>
      </c>
      <c r="G10" s="40" t="s">
        <v>60</v>
      </c>
      <c r="H10" s="73" t="s">
        <v>61</v>
      </c>
      <c r="I10" s="124" t="s">
        <v>22</v>
      </c>
      <c r="K10" s="37">
        <v>6.0</v>
      </c>
      <c r="L10" s="37" t="s">
        <v>371</v>
      </c>
      <c r="M10" s="37" t="s">
        <v>372</v>
      </c>
    </row>
    <row r="11">
      <c r="A11" s="121">
        <v>7.0</v>
      </c>
      <c r="B11" s="122" t="s">
        <v>165</v>
      </c>
      <c r="C11" s="123" t="s">
        <v>373</v>
      </c>
      <c r="E11" s="124">
        <v>7.0</v>
      </c>
      <c r="F11" s="125" t="s">
        <v>41</v>
      </c>
      <c r="G11" s="40" t="s">
        <v>64</v>
      </c>
      <c r="H11" s="73"/>
      <c r="I11" s="124" t="s">
        <v>22</v>
      </c>
      <c r="K11" s="37">
        <v>7.0</v>
      </c>
      <c r="L11" s="37" t="s">
        <v>177</v>
      </c>
      <c r="M11" s="73" t="s">
        <v>178</v>
      </c>
    </row>
    <row r="12">
      <c r="A12" s="129"/>
      <c r="E12" s="124">
        <v>8.0</v>
      </c>
      <c r="F12" s="125" t="s">
        <v>149</v>
      </c>
      <c r="G12" s="37" t="s">
        <v>150</v>
      </c>
      <c r="H12" s="126"/>
      <c r="I12" s="124" t="s">
        <v>22</v>
      </c>
      <c r="K12" s="37">
        <v>8.0</v>
      </c>
      <c r="L12" s="37" t="s">
        <v>152</v>
      </c>
      <c r="M12" s="73" t="s">
        <v>181</v>
      </c>
    </row>
    <row r="13">
      <c r="A13" s="129"/>
      <c r="E13" s="37">
        <v>9.0</v>
      </c>
      <c r="F13" s="124" t="s">
        <v>374</v>
      </c>
      <c r="G13" s="37" t="s">
        <v>375</v>
      </c>
      <c r="H13" s="126"/>
      <c r="I13" s="124" t="s">
        <v>22</v>
      </c>
      <c r="K13" s="37">
        <v>9.0</v>
      </c>
      <c r="L13" s="37" t="s">
        <v>165</v>
      </c>
      <c r="M13" s="73" t="s">
        <v>183</v>
      </c>
    </row>
    <row r="14">
      <c r="A14" s="129"/>
      <c r="E14" s="37">
        <v>10.0</v>
      </c>
      <c r="F14" s="124" t="s">
        <v>160</v>
      </c>
      <c r="G14" s="37" t="s">
        <v>161</v>
      </c>
      <c r="H14" s="126"/>
      <c r="I14" s="124" t="s">
        <v>22</v>
      </c>
      <c r="K14" s="37">
        <v>10.0</v>
      </c>
      <c r="L14" s="37" t="s">
        <v>177</v>
      </c>
      <c r="M14" s="37" t="s">
        <v>185</v>
      </c>
    </row>
    <row r="15">
      <c r="A15" s="129"/>
      <c r="E15" s="37">
        <v>11.0</v>
      </c>
      <c r="F15" s="124" t="s">
        <v>376</v>
      </c>
      <c r="G15" s="40" t="s">
        <v>377</v>
      </c>
      <c r="H15" s="126"/>
      <c r="I15" s="124" t="s">
        <v>124</v>
      </c>
      <c r="K15" s="37">
        <v>11.0</v>
      </c>
      <c r="L15" s="37" t="s">
        <v>160</v>
      </c>
      <c r="M15" s="74" t="s">
        <v>213</v>
      </c>
    </row>
    <row r="16">
      <c r="A16" s="129"/>
      <c r="E16" s="37">
        <v>12.0</v>
      </c>
      <c r="F16" s="124" t="s">
        <v>378</v>
      </c>
      <c r="G16" s="37" t="s">
        <v>190</v>
      </c>
      <c r="H16" s="126"/>
      <c r="I16" s="124" t="s">
        <v>124</v>
      </c>
      <c r="K16" s="37">
        <v>12.0</v>
      </c>
      <c r="L16" s="37" t="s">
        <v>371</v>
      </c>
      <c r="M16" s="74" t="s">
        <v>221</v>
      </c>
    </row>
    <row r="17">
      <c r="A17" s="129"/>
      <c r="E17" s="37">
        <v>13.0</v>
      </c>
      <c r="F17" s="124" t="s">
        <v>379</v>
      </c>
      <c r="G17" s="130" t="s">
        <v>197</v>
      </c>
      <c r="H17" s="126"/>
      <c r="I17" s="124" t="s">
        <v>22</v>
      </c>
      <c r="K17" s="37"/>
      <c r="L17" s="36"/>
      <c r="M17" s="36"/>
    </row>
    <row r="18">
      <c r="A18" s="129"/>
      <c r="E18" s="37">
        <v>14.0</v>
      </c>
      <c r="F18" s="124" t="s">
        <v>200</v>
      </c>
      <c r="G18" s="37" t="s">
        <v>201</v>
      </c>
      <c r="H18" s="126"/>
      <c r="I18" s="124" t="s">
        <v>22</v>
      </c>
      <c r="K18" s="37"/>
      <c r="L18" s="36"/>
      <c r="M18" s="36"/>
    </row>
    <row r="19">
      <c r="A19" s="129"/>
      <c r="E19" s="37">
        <v>15.0</v>
      </c>
      <c r="F19" s="124" t="s">
        <v>374</v>
      </c>
      <c r="G19" s="40" t="s">
        <v>204</v>
      </c>
      <c r="H19" s="126"/>
      <c r="I19" s="124" t="s">
        <v>22</v>
      </c>
      <c r="K19" s="37"/>
      <c r="L19" s="36"/>
      <c r="M19" s="36"/>
    </row>
    <row r="20">
      <c r="A20" s="129"/>
      <c r="E20" s="37">
        <v>16.0</v>
      </c>
      <c r="F20" s="124" t="s">
        <v>160</v>
      </c>
      <c r="G20" s="40" t="s">
        <v>206</v>
      </c>
      <c r="H20" s="126"/>
      <c r="I20" s="124" t="s">
        <v>22</v>
      </c>
      <c r="K20" s="37"/>
      <c r="L20" s="36"/>
      <c r="M20" s="36"/>
    </row>
    <row r="21">
      <c r="A21" s="129"/>
      <c r="E21" s="37">
        <v>17.0</v>
      </c>
      <c r="F21" s="124" t="s">
        <v>379</v>
      </c>
      <c r="G21" s="37" t="s">
        <v>380</v>
      </c>
      <c r="H21" s="126"/>
      <c r="I21" s="124" t="s">
        <v>22</v>
      </c>
      <c r="K21" s="37"/>
      <c r="L21" s="36"/>
      <c r="M21" s="36"/>
    </row>
    <row r="22">
      <c r="A22" s="129"/>
      <c r="E22" s="37">
        <v>18.0</v>
      </c>
      <c r="F22" s="124" t="s">
        <v>287</v>
      </c>
      <c r="G22" s="37" t="s">
        <v>288</v>
      </c>
      <c r="H22" s="126"/>
      <c r="I22" s="124" t="s">
        <v>381</v>
      </c>
      <c r="K22" s="37"/>
      <c r="L22" s="36"/>
      <c r="M22" s="36"/>
    </row>
    <row r="23">
      <c r="A23" s="129"/>
      <c r="E23" s="37">
        <v>19.0</v>
      </c>
      <c r="F23" s="124" t="s">
        <v>287</v>
      </c>
      <c r="G23" s="37" t="s">
        <v>382</v>
      </c>
      <c r="H23" s="126"/>
      <c r="I23" s="124" t="s">
        <v>22</v>
      </c>
      <c r="K23" s="37"/>
      <c r="L23" s="36"/>
      <c r="M23" s="36"/>
    </row>
    <row r="24">
      <c r="A24" s="129"/>
      <c r="E24" s="37">
        <v>20.0</v>
      </c>
      <c r="F24" s="124" t="s">
        <v>287</v>
      </c>
      <c r="G24" s="37" t="s">
        <v>292</v>
      </c>
      <c r="H24" s="126"/>
      <c r="I24" s="124" t="s">
        <v>124</v>
      </c>
      <c r="K24" s="37"/>
      <c r="L24" s="36"/>
      <c r="M24" s="36"/>
    </row>
    <row r="25">
      <c r="A25" s="129"/>
      <c r="E25" s="37">
        <v>21.0</v>
      </c>
      <c r="F25" s="124" t="s">
        <v>287</v>
      </c>
      <c r="G25" s="37" t="s">
        <v>294</v>
      </c>
      <c r="H25" s="126"/>
      <c r="I25" s="124" t="s">
        <v>124</v>
      </c>
      <c r="K25" s="37"/>
      <c r="L25" s="36"/>
      <c r="M25" s="36"/>
    </row>
    <row r="26">
      <c r="A26" s="129"/>
      <c r="E26" s="37">
        <v>22.0</v>
      </c>
      <c r="F26" s="124" t="s">
        <v>287</v>
      </c>
      <c r="G26" s="37" t="s">
        <v>295</v>
      </c>
      <c r="H26" s="126"/>
      <c r="I26" s="124" t="s">
        <v>22</v>
      </c>
      <c r="K26" s="37"/>
      <c r="L26" s="36"/>
      <c r="M26" s="36"/>
    </row>
    <row r="27">
      <c r="A27" s="129"/>
      <c r="E27" s="37">
        <v>23.0</v>
      </c>
      <c r="F27" s="124" t="s">
        <v>383</v>
      </c>
      <c r="G27" s="40" t="s">
        <v>298</v>
      </c>
      <c r="H27" s="126"/>
      <c r="I27" s="124" t="s">
        <v>22</v>
      </c>
      <c r="K27" s="37"/>
      <c r="L27" s="36"/>
      <c r="M27" s="36"/>
    </row>
    <row r="28">
      <c r="A28" s="129"/>
      <c r="E28" s="37">
        <v>24.0</v>
      </c>
      <c r="F28" s="124" t="s">
        <v>287</v>
      </c>
      <c r="G28" s="40" t="s">
        <v>300</v>
      </c>
      <c r="H28" s="126"/>
      <c r="I28" s="124" t="s">
        <v>124</v>
      </c>
      <c r="K28" s="37"/>
      <c r="L28" s="36"/>
      <c r="M28" s="36"/>
    </row>
    <row r="29">
      <c r="A29" s="129"/>
      <c r="E29" s="37">
        <v>25.0</v>
      </c>
      <c r="F29" s="124" t="s">
        <v>383</v>
      </c>
      <c r="G29" s="40" t="s">
        <v>303</v>
      </c>
      <c r="H29" s="126"/>
      <c r="I29" s="124" t="s">
        <v>22</v>
      </c>
      <c r="K29" s="37"/>
      <c r="L29" s="36"/>
      <c r="M29" s="36"/>
    </row>
    <row r="30">
      <c r="A30" s="129"/>
      <c r="E30" s="37">
        <v>26.0</v>
      </c>
      <c r="F30" s="124" t="s">
        <v>160</v>
      </c>
      <c r="G30" s="40" t="s">
        <v>384</v>
      </c>
      <c r="H30" s="126"/>
      <c r="I30" s="124" t="s">
        <v>22</v>
      </c>
      <c r="K30" s="37"/>
      <c r="L30" s="36"/>
      <c r="M30" s="36"/>
    </row>
    <row r="31">
      <c r="E31" s="37">
        <v>27.0</v>
      </c>
      <c r="F31" s="124" t="s">
        <v>378</v>
      </c>
      <c r="G31" s="40" t="s">
        <v>218</v>
      </c>
      <c r="H31" s="126"/>
      <c r="I31" s="124" t="s">
        <v>381</v>
      </c>
      <c r="K31" s="37"/>
      <c r="L31" s="36"/>
      <c r="M31" s="36"/>
    </row>
    <row r="32">
      <c r="E32" s="37">
        <v>28.0</v>
      </c>
      <c r="F32" s="124" t="s">
        <v>383</v>
      </c>
      <c r="G32" s="40" t="s">
        <v>385</v>
      </c>
      <c r="H32" s="126"/>
      <c r="I32" s="124" t="s">
        <v>22</v>
      </c>
      <c r="K32" s="37"/>
      <c r="L32" s="36"/>
      <c r="M32" s="36"/>
    </row>
    <row r="33">
      <c r="E33" s="37">
        <v>29.0</v>
      </c>
      <c r="F33" s="124" t="s">
        <v>383</v>
      </c>
      <c r="G33" s="37" t="s">
        <v>309</v>
      </c>
      <c r="H33" s="126"/>
      <c r="I33" s="124" t="s">
        <v>81</v>
      </c>
      <c r="K33" s="37"/>
      <c r="L33" s="36"/>
      <c r="M33" s="36"/>
    </row>
    <row r="34">
      <c r="E34" s="37">
        <v>30.0</v>
      </c>
      <c r="F34" s="124" t="s">
        <v>378</v>
      </c>
      <c r="G34" s="37" t="s">
        <v>309</v>
      </c>
      <c r="H34" s="126"/>
      <c r="I34" s="124" t="s">
        <v>81</v>
      </c>
      <c r="K34" s="37"/>
      <c r="L34" s="36"/>
      <c r="M34" s="36"/>
    </row>
    <row r="35">
      <c r="E35" s="37">
        <v>31.0</v>
      </c>
      <c r="F35" s="124" t="s">
        <v>379</v>
      </c>
      <c r="G35" s="37" t="s">
        <v>386</v>
      </c>
      <c r="H35" s="126"/>
      <c r="I35" s="124" t="s">
        <v>22</v>
      </c>
      <c r="K35" s="37"/>
      <c r="L35" s="36"/>
      <c r="M35" s="36"/>
    </row>
    <row r="36">
      <c r="E36" s="37">
        <v>32.0</v>
      </c>
      <c r="F36" s="124" t="s">
        <v>378</v>
      </c>
      <c r="G36" s="37" t="s">
        <v>234</v>
      </c>
      <c r="H36" s="126"/>
      <c r="I36" s="124" t="s">
        <v>124</v>
      </c>
    </row>
    <row r="37">
      <c r="A37" s="131" t="s">
        <v>387</v>
      </c>
      <c r="E37" s="37">
        <v>33.0</v>
      </c>
      <c r="F37" s="124" t="s">
        <v>287</v>
      </c>
      <c r="G37" s="37" t="s">
        <v>310</v>
      </c>
      <c r="H37" s="126"/>
      <c r="I37" s="124" t="s">
        <v>124</v>
      </c>
    </row>
    <row r="38">
      <c r="A38" s="58" t="s">
        <v>54</v>
      </c>
      <c r="B38" s="132">
        <f>COUNTA(C5:C1016)</f>
        <v>7</v>
      </c>
      <c r="F38" s="133"/>
    </row>
    <row r="39">
      <c r="A39" s="132" t="str">
        <f>IFERROR(__xludf.DUMMYFUNCTION("QUERY(E3)"),"APLIKASI")</f>
        <v>APLIKASI</v>
      </c>
      <c r="B39" s="58">
        <f>COUNTA(F5:F1016)</f>
        <v>33</v>
      </c>
      <c r="F39" s="133"/>
    </row>
    <row r="40">
      <c r="A40" s="58" t="str">
        <f>IFERROR(__xludf.DUMMYFUNCTION("QUERY(K3)"),"HADWARE")</f>
        <v>HADWARE</v>
      </c>
      <c r="B40" s="132">
        <f>COUNTA(K6:K1016)</f>
        <v>12</v>
      </c>
      <c r="F40" s="133"/>
    </row>
    <row r="41">
      <c r="F41" s="133"/>
    </row>
    <row r="42">
      <c r="F42" s="133"/>
    </row>
    <row r="43">
      <c r="F43" s="133"/>
    </row>
    <row r="44">
      <c r="F44" s="133"/>
    </row>
    <row r="45">
      <c r="F45" s="133"/>
    </row>
    <row r="46">
      <c r="F46" s="133"/>
    </row>
    <row r="47">
      <c r="F47" s="133"/>
    </row>
    <row r="48">
      <c r="F48" s="133"/>
    </row>
    <row r="49">
      <c r="F49" s="133"/>
    </row>
    <row r="50">
      <c r="F50" s="133"/>
    </row>
    <row r="51">
      <c r="F51" s="133"/>
    </row>
    <row r="52">
      <c r="F52" s="133"/>
    </row>
    <row r="53">
      <c r="F53" s="133"/>
    </row>
    <row r="54">
      <c r="A54" s="113"/>
      <c r="B54" s="113"/>
      <c r="C54" s="113"/>
      <c r="F54" s="133"/>
    </row>
    <row r="55">
      <c r="A55" s="113"/>
      <c r="B55" s="113"/>
      <c r="C55" s="113"/>
      <c r="F55" s="133"/>
    </row>
    <row r="56">
      <c r="A56" s="113"/>
      <c r="B56" s="113"/>
      <c r="C56" s="113"/>
      <c r="F56" s="133"/>
    </row>
    <row r="57">
      <c r="A57" s="113"/>
      <c r="B57" s="113"/>
      <c r="C57" s="113"/>
      <c r="F57" s="133"/>
    </row>
    <row r="58">
      <c r="A58" s="113"/>
      <c r="B58" s="113"/>
      <c r="C58" s="113"/>
      <c r="F58" s="133"/>
    </row>
    <row r="59">
      <c r="A59" s="113" t="s">
        <v>388</v>
      </c>
      <c r="F59" s="133"/>
    </row>
    <row r="60">
      <c r="A60" s="113" t="s">
        <v>389</v>
      </c>
      <c r="F60" s="133"/>
    </row>
    <row r="61">
      <c r="F61" s="133"/>
    </row>
    <row r="62">
      <c r="F62" s="133"/>
    </row>
    <row r="63">
      <c r="A63" s="116" t="s">
        <v>54</v>
      </c>
      <c r="E63" s="114" t="s">
        <v>355</v>
      </c>
      <c r="K63" s="23" t="s">
        <v>356</v>
      </c>
    </row>
    <row r="64">
      <c r="A64" s="58" t="s">
        <v>1</v>
      </c>
      <c r="B64" s="58" t="s">
        <v>357</v>
      </c>
      <c r="F64" s="133"/>
    </row>
    <row r="65">
      <c r="F65" s="133"/>
    </row>
    <row r="66">
      <c r="F66" s="133"/>
    </row>
    <row r="67">
      <c r="F67" s="133"/>
    </row>
    <row r="68">
      <c r="F68" s="133"/>
    </row>
    <row r="69">
      <c r="F69" s="133"/>
    </row>
    <row r="70">
      <c r="F70" s="133"/>
    </row>
    <row r="71">
      <c r="F71" s="133"/>
    </row>
    <row r="72">
      <c r="F72" s="133"/>
    </row>
    <row r="73">
      <c r="F73" s="133"/>
    </row>
    <row r="74">
      <c r="F74" s="133"/>
    </row>
    <row r="75">
      <c r="F75" s="133"/>
    </row>
    <row r="76">
      <c r="F76" s="133"/>
    </row>
    <row r="77">
      <c r="F77" s="133"/>
    </row>
    <row r="78">
      <c r="F78" s="133"/>
    </row>
    <row r="79">
      <c r="F79" s="133"/>
    </row>
    <row r="80">
      <c r="F80" s="133"/>
    </row>
    <row r="81">
      <c r="F81" s="133"/>
    </row>
    <row r="82">
      <c r="F82" s="133"/>
    </row>
    <row r="83">
      <c r="F83" s="133"/>
    </row>
    <row r="84">
      <c r="F84" s="133"/>
    </row>
    <row r="85">
      <c r="F85" s="133"/>
    </row>
    <row r="86">
      <c r="F86" s="133"/>
    </row>
    <row r="87">
      <c r="F87" s="133"/>
    </row>
    <row r="88">
      <c r="F88" s="133"/>
    </row>
    <row r="89">
      <c r="F89" s="133"/>
    </row>
    <row r="90">
      <c r="F90" s="133"/>
    </row>
    <row r="91">
      <c r="F91" s="133"/>
    </row>
    <row r="92">
      <c r="F92" s="133"/>
    </row>
    <row r="93">
      <c r="F93" s="133"/>
    </row>
    <row r="94">
      <c r="F94" s="133"/>
    </row>
    <row r="95">
      <c r="F95" s="133"/>
    </row>
    <row r="96">
      <c r="F96" s="133"/>
    </row>
    <row r="97">
      <c r="F97" s="133"/>
    </row>
    <row r="98">
      <c r="F98" s="133"/>
    </row>
    <row r="99">
      <c r="F99" s="133"/>
    </row>
    <row r="100">
      <c r="F100" s="133"/>
    </row>
    <row r="101">
      <c r="F101" s="133"/>
    </row>
    <row r="102">
      <c r="F102" s="133"/>
    </row>
    <row r="103">
      <c r="F103" s="133"/>
    </row>
    <row r="104">
      <c r="F104" s="133"/>
    </row>
    <row r="105">
      <c r="F105" s="133"/>
    </row>
    <row r="106">
      <c r="F106" s="133"/>
    </row>
    <row r="107">
      <c r="F107" s="133"/>
    </row>
    <row r="108">
      <c r="F108" s="133"/>
    </row>
    <row r="109">
      <c r="F109" s="133"/>
    </row>
    <row r="110">
      <c r="F110" s="133"/>
    </row>
    <row r="111">
      <c r="F111" s="133"/>
    </row>
    <row r="112">
      <c r="F112" s="133"/>
    </row>
    <row r="113">
      <c r="F113" s="133"/>
    </row>
    <row r="114">
      <c r="F114" s="133"/>
    </row>
    <row r="115">
      <c r="F115" s="133"/>
    </row>
    <row r="116">
      <c r="F116" s="133"/>
    </row>
    <row r="117">
      <c r="F117" s="133"/>
    </row>
    <row r="118">
      <c r="F118" s="133"/>
    </row>
    <row r="119">
      <c r="F119" s="133"/>
    </row>
    <row r="120">
      <c r="F120" s="133"/>
    </row>
    <row r="121">
      <c r="F121" s="133"/>
    </row>
    <row r="122">
      <c r="F122" s="133"/>
    </row>
    <row r="123">
      <c r="F123" s="133"/>
    </row>
    <row r="124">
      <c r="F124" s="133"/>
    </row>
    <row r="125">
      <c r="F125" s="133"/>
    </row>
    <row r="126">
      <c r="F126" s="133"/>
    </row>
    <row r="127">
      <c r="F127" s="133"/>
    </row>
    <row r="128">
      <c r="F128" s="133"/>
    </row>
    <row r="129">
      <c r="F129" s="133"/>
    </row>
    <row r="130">
      <c r="F130" s="133"/>
    </row>
    <row r="131">
      <c r="F131" s="133"/>
    </row>
    <row r="132">
      <c r="F132" s="133"/>
    </row>
    <row r="133">
      <c r="F133" s="133"/>
    </row>
    <row r="134">
      <c r="F134" s="133"/>
    </row>
    <row r="135">
      <c r="F135" s="133"/>
    </row>
    <row r="136">
      <c r="F136" s="133"/>
    </row>
    <row r="137">
      <c r="F137" s="133"/>
    </row>
    <row r="138">
      <c r="F138" s="133"/>
    </row>
    <row r="139">
      <c r="F139" s="133"/>
    </row>
    <row r="140">
      <c r="F140" s="133"/>
    </row>
    <row r="141">
      <c r="F141" s="133"/>
    </row>
    <row r="142">
      <c r="F142" s="133"/>
    </row>
    <row r="143">
      <c r="F143" s="133"/>
    </row>
    <row r="144">
      <c r="F144" s="133"/>
    </row>
    <row r="145">
      <c r="F145" s="133"/>
    </row>
    <row r="146">
      <c r="F146" s="133"/>
    </row>
    <row r="147">
      <c r="F147" s="133"/>
    </row>
    <row r="148">
      <c r="F148" s="133"/>
    </row>
    <row r="149">
      <c r="F149" s="133"/>
    </row>
    <row r="150">
      <c r="F150" s="133"/>
    </row>
    <row r="151">
      <c r="F151" s="133"/>
    </row>
    <row r="152">
      <c r="F152" s="133"/>
    </row>
    <row r="153">
      <c r="F153" s="133"/>
    </row>
    <row r="154">
      <c r="F154" s="133"/>
    </row>
    <row r="155">
      <c r="F155" s="133"/>
    </row>
    <row r="156">
      <c r="F156" s="133"/>
    </row>
    <row r="157">
      <c r="F157" s="133"/>
    </row>
    <row r="158">
      <c r="F158" s="133"/>
    </row>
    <row r="159">
      <c r="F159" s="133"/>
    </row>
    <row r="160">
      <c r="F160" s="133"/>
    </row>
    <row r="161">
      <c r="F161" s="133"/>
    </row>
    <row r="162">
      <c r="F162" s="133"/>
    </row>
    <row r="163">
      <c r="F163" s="133"/>
    </row>
    <row r="164">
      <c r="F164" s="133"/>
    </row>
    <row r="165">
      <c r="F165" s="133"/>
    </row>
    <row r="166">
      <c r="F166" s="133"/>
    </row>
    <row r="167">
      <c r="F167" s="133"/>
    </row>
    <row r="168">
      <c r="F168" s="133"/>
    </row>
    <row r="169">
      <c r="F169" s="133"/>
    </row>
    <row r="170">
      <c r="F170" s="133"/>
    </row>
    <row r="171">
      <c r="F171" s="133"/>
    </row>
    <row r="172">
      <c r="F172" s="133"/>
    </row>
    <row r="173">
      <c r="F173" s="133"/>
    </row>
    <row r="174">
      <c r="F174" s="133"/>
    </row>
    <row r="175">
      <c r="F175" s="133"/>
    </row>
    <row r="176">
      <c r="F176" s="133"/>
    </row>
    <row r="177">
      <c r="F177" s="133"/>
    </row>
    <row r="178">
      <c r="F178" s="133"/>
    </row>
    <row r="179">
      <c r="F179" s="133"/>
    </row>
    <row r="180">
      <c r="F180" s="133"/>
    </row>
    <row r="181">
      <c r="F181" s="133"/>
    </row>
    <row r="182">
      <c r="F182" s="133"/>
    </row>
    <row r="183">
      <c r="F183" s="133"/>
    </row>
    <row r="184">
      <c r="F184" s="133"/>
    </row>
    <row r="185">
      <c r="F185" s="133"/>
    </row>
    <row r="186">
      <c r="F186" s="133"/>
    </row>
    <row r="187">
      <c r="F187" s="133"/>
    </row>
    <row r="188">
      <c r="F188" s="133"/>
    </row>
    <row r="189">
      <c r="F189" s="133"/>
    </row>
    <row r="190">
      <c r="F190" s="133"/>
    </row>
    <row r="191">
      <c r="F191" s="133"/>
    </row>
    <row r="192">
      <c r="F192" s="133"/>
    </row>
    <row r="193">
      <c r="F193" s="133"/>
    </row>
    <row r="194">
      <c r="F194" s="133"/>
    </row>
    <row r="195">
      <c r="F195" s="133"/>
    </row>
    <row r="196">
      <c r="F196" s="133"/>
    </row>
    <row r="197">
      <c r="F197" s="133"/>
    </row>
    <row r="198">
      <c r="F198" s="133"/>
    </row>
    <row r="199">
      <c r="F199" s="133"/>
    </row>
    <row r="200">
      <c r="F200" s="133"/>
    </row>
    <row r="201">
      <c r="F201" s="133"/>
    </row>
    <row r="202">
      <c r="F202" s="133"/>
    </row>
    <row r="203">
      <c r="F203" s="133"/>
    </row>
    <row r="204">
      <c r="F204" s="133"/>
    </row>
    <row r="205">
      <c r="F205" s="133"/>
    </row>
    <row r="206">
      <c r="F206" s="133"/>
    </row>
    <row r="207">
      <c r="F207" s="133"/>
    </row>
    <row r="208">
      <c r="F208" s="133"/>
    </row>
    <row r="209">
      <c r="F209" s="133"/>
    </row>
    <row r="210">
      <c r="F210" s="133"/>
    </row>
    <row r="211">
      <c r="F211" s="133"/>
    </row>
    <row r="212">
      <c r="F212" s="133"/>
    </row>
    <row r="213">
      <c r="F213" s="133"/>
    </row>
    <row r="214">
      <c r="F214" s="133"/>
    </row>
    <row r="215">
      <c r="F215" s="133"/>
    </row>
    <row r="216">
      <c r="F216" s="133"/>
    </row>
    <row r="217">
      <c r="F217" s="133"/>
    </row>
    <row r="218">
      <c r="F218" s="133"/>
    </row>
    <row r="219">
      <c r="F219" s="133"/>
    </row>
    <row r="220">
      <c r="F220" s="133"/>
    </row>
    <row r="221">
      <c r="F221" s="133"/>
    </row>
    <row r="222">
      <c r="F222" s="133"/>
    </row>
    <row r="223">
      <c r="F223" s="133"/>
    </row>
    <row r="224">
      <c r="F224" s="133"/>
    </row>
    <row r="225">
      <c r="F225" s="133"/>
    </row>
    <row r="226">
      <c r="F226" s="133"/>
    </row>
    <row r="227">
      <c r="F227" s="133"/>
    </row>
    <row r="228">
      <c r="F228" s="133"/>
    </row>
    <row r="229">
      <c r="F229" s="133"/>
    </row>
    <row r="230">
      <c r="F230" s="133"/>
    </row>
    <row r="231">
      <c r="F231" s="133"/>
    </row>
    <row r="232">
      <c r="F232" s="133"/>
    </row>
    <row r="233">
      <c r="F233" s="133"/>
    </row>
    <row r="234">
      <c r="F234" s="133"/>
    </row>
    <row r="235">
      <c r="F235" s="133"/>
    </row>
    <row r="236">
      <c r="F236" s="133"/>
    </row>
    <row r="237">
      <c r="F237" s="133"/>
    </row>
    <row r="238">
      <c r="F238" s="133"/>
    </row>
    <row r="239">
      <c r="F239" s="133"/>
    </row>
    <row r="240">
      <c r="F240" s="133"/>
    </row>
    <row r="241">
      <c r="F241" s="133"/>
    </row>
    <row r="242">
      <c r="F242" s="133"/>
    </row>
    <row r="243">
      <c r="F243" s="133"/>
    </row>
    <row r="244">
      <c r="F244" s="133"/>
    </row>
    <row r="245">
      <c r="F245" s="133"/>
    </row>
    <row r="246">
      <c r="F246" s="133"/>
    </row>
    <row r="247">
      <c r="F247" s="133"/>
    </row>
    <row r="248">
      <c r="F248" s="133"/>
    </row>
    <row r="249">
      <c r="F249" s="133"/>
    </row>
    <row r="250">
      <c r="F250" s="133"/>
    </row>
    <row r="251">
      <c r="F251" s="133"/>
    </row>
    <row r="252">
      <c r="F252" s="133"/>
    </row>
    <row r="253">
      <c r="F253" s="133"/>
    </row>
    <row r="254">
      <c r="F254" s="133"/>
    </row>
    <row r="255">
      <c r="F255" s="133"/>
    </row>
    <row r="256">
      <c r="F256" s="133"/>
    </row>
    <row r="257">
      <c r="F257" s="133"/>
    </row>
    <row r="258">
      <c r="F258" s="133"/>
    </row>
    <row r="259">
      <c r="F259" s="133"/>
    </row>
    <row r="260">
      <c r="F260" s="133"/>
    </row>
    <row r="261">
      <c r="F261" s="133"/>
    </row>
    <row r="262">
      <c r="F262" s="133"/>
    </row>
    <row r="263">
      <c r="F263" s="133"/>
    </row>
    <row r="264">
      <c r="F264" s="133"/>
    </row>
    <row r="265">
      <c r="F265" s="133"/>
    </row>
    <row r="266">
      <c r="F266" s="133"/>
    </row>
    <row r="267">
      <c r="F267" s="133"/>
    </row>
    <row r="268">
      <c r="F268" s="133"/>
    </row>
    <row r="269">
      <c r="F269" s="133"/>
    </row>
    <row r="270">
      <c r="F270" s="133"/>
    </row>
    <row r="271">
      <c r="F271" s="133"/>
    </row>
    <row r="272">
      <c r="F272" s="133"/>
    </row>
    <row r="273">
      <c r="F273" s="133"/>
    </row>
    <row r="274">
      <c r="F274" s="133"/>
    </row>
    <row r="275">
      <c r="F275" s="133"/>
    </row>
    <row r="276">
      <c r="F276" s="133"/>
    </row>
    <row r="277">
      <c r="F277" s="133"/>
    </row>
    <row r="278">
      <c r="F278" s="133"/>
    </row>
    <row r="279">
      <c r="F279" s="133"/>
    </row>
    <row r="280">
      <c r="F280" s="133"/>
    </row>
    <row r="281">
      <c r="F281" s="133"/>
    </row>
    <row r="282">
      <c r="F282" s="133"/>
    </row>
    <row r="283">
      <c r="F283" s="133"/>
    </row>
    <row r="284">
      <c r="F284" s="133"/>
    </row>
    <row r="285">
      <c r="F285" s="133"/>
    </row>
    <row r="286">
      <c r="F286" s="133"/>
    </row>
    <row r="287">
      <c r="F287" s="133"/>
    </row>
    <row r="288">
      <c r="F288" s="133"/>
    </row>
    <row r="289">
      <c r="F289" s="133"/>
    </row>
    <row r="290">
      <c r="F290" s="133"/>
    </row>
    <row r="291">
      <c r="F291" s="133"/>
    </row>
    <row r="292">
      <c r="F292" s="133"/>
    </row>
    <row r="293">
      <c r="F293" s="133"/>
    </row>
    <row r="294">
      <c r="F294" s="133"/>
    </row>
    <row r="295">
      <c r="F295" s="133"/>
    </row>
    <row r="296">
      <c r="F296" s="133"/>
    </row>
    <row r="297">
      <c r="F297" s="133"/>
    </row>
    <row r="298">
      <c r="F298" s="133"/>
    </row>
    <row r="299">
      <c r="F299" s="133"/>
    </row>
    <row r="300">
      <c r="F300" s="133"/>
    </row>
    <row r="301">
      <c r="F301" s="133"/>
    </row>
    <row r="302">
      <c r="F302" s="133"/>
    </row>
    <row r="303">
      <c r="F303" s="133"/>
    </row>
    <row r="304">
      <c r="F304" s="133"/>
    </row>
    <row r="305">
      <c r="F305" s="133"/>
    </row>
    <row r="306">
      <c r="F306" s="133"/>
    </row>
    <row r="307">
      <c r="F307" s="133"/>
    </row>
    <row r="308">
      <c r="F308" s="133"/>
    </row>
    <row r="309">
      <c r="F309" s="133"/>
    </row>
    <row r="310">
      <c r="F310" s="133"/>
    </row>
    <row r="311">
      <c r="F311" s="133"/>
    </row>
    <row r="312">
      <c r="F312" s="133"/>
    </row>
    <row r="313">
      <c r="F313" s="133"/>
    </row>
    <row r="314">
      <c r="F314" s="133"/>
    </row>
    <row r="315">
      <c r="F315" s="133"/>
    </row>
    <row r="316">
      <c r="F316" s="133"/>
    </row>
    <row r="317">
      <c r="F317" s="133"/>
    </row>
    <row r="318">
      <c r="F318" s="133"/>
    </row>
    <row r="319">
      <c r="F319" s="133"/>
    </row>
    <row r="320">
      <c r="F320" s="133"/>
    </row>
    <row r="321">
      <c r="F321" s="133"/>
    </row>
    <row r="322">
      <c r="F322" s="133"/>
    </row>
    <row r="323">
      <c r="F323" s="133"/>
    </row>
    <row r="324">
      <c r="F324" s="133"/>
    </row>
    <row r="325">
      <c r="F325" s="133"/>
    </row>
    <row r="326">
      <c r="F326" s="133"/>
    </row>
    <row r="327">
      <c r="F327" s="133"/>
    </row>
    <row r="328">
      <c r="F328" s="133"/>
    </row>
    <row r="329">
      <c r="F329" s="133"/>
    </row>
    <row r="330">
      <c r="F330" s="133"/>
    </row>
    <row r="331">
      <c r="F331" s="133"/>
    </row>
    <row r="332">
      <c r="F332" s="133"/>
    </row>
    <row r="333">
      <c r="F333" s="133"/>
    </row>
    <row r="334">
      <c r="F334" s="133"/>
    </row>
    <row r="335">
      <c r="F335" s="133"/>
    </row>
    <row r="336">
      <c r="F336" s="133"/>
    </row>
    <row r="337">
      <c r="F337" s="133"/>
    </row>
    <row r="338">
      <c r="F338" s="133"/>
    </row>
    <row r="339">
      <c r="F339" s="133"/>
    </row>
    <row r="340">
      <c r="F340" s="133"/>
    </row>
    <row r="341">
      <c r="F341" s="133"/>
    </row>
    <row r="342">
      <c r="F342" s="133"/>
    </row>
    <row r="343">
      <c r="F343" s="133"/>
    </row>
    <row r="344">
      <c r="F344" s="133"/>
    </row>
    <row r="345">
      <c r="F345" s="133"/>
    </row>
    <row r="346">
      <c r="F346" s="133"/>
    </row>
    <row r="347">
      <c r="F347" s="133"/>
    </row>
    <row r="348">
      <c r="F348" s="133"/>
    </row>
    <row r="349">
      <c r="F349" s="133"/>
    </row>
    <row r="350">
      <c r="F350" s="133"/>
    </row>
    <row r="351">
      <c r="F351" s="133"/>
    </row>
    <row r="352">
      <c r="F352" s="133"/>
    </row>
    <row r="353">
      <c r="F353" s="133"/>
    </row>
    <row r="354">
      <c r="F354" s="133"/>
    </row>
    <row r="355">
      <c r="F355" s="133"/>
    </row>
    <row r="356">
      <c r="F356" s="133"/>
    </row>
    <row r="357">
      <c r="F357" s="133"/>
    </row>
    <row r="358">
      <c r="F358" s="133"/>
    </row>
    <row r="359">
      <c r="F359" s="133"/>
    </row>
    <row r="360">
      <c r="F360" s="133"/>
    </row>
    <row r="361">
      <c r="F361" s="133"/>
    </row>
    <row r="362">
      <c r="F362" s="133"/>
    </row>
    <row r="363">
      <c r="F363" s="133"/>
    </row>
    <row r="364">
      <c r="F364" s="133"/>
    </row>
    <row r="365">
      <c r="F365" s="133"/>
    </row>
    <row r="366">
      <c r="F366" s="133"/>
    </row>
    <row r="367">
      <c r="F367" s="133"/>
    </row>
    <row r="368">
      <c r="F368" s="133"/>
    </row>
    <row r="369">
      <c r="F369" s="133"/>
    </row>
    <row r="370">
      <c r="F370" s="133"/>
    </row>
    <row r="371">
      <c r="F371" s="133"/>
    </row>
    <row r="372">
      <c r="F372" s="133"/>
    </row>
    <row r="373">
      <c r="F373" s="133"/>
    </row>
    <row r="374">
      <c r="F374" s="133"/>
    </row>
    <row r="375">
      <c r="F375" s="133"/>
    </row>
    <row r="376">
      <c r="F376" s="133"/>
    </row>
    <row r="377">
      <c r="F377" s="133"/>
    </row>
    <row r="378">
      <c r="F378" s="133"/>
    </row>
    <row r="379">
      <c r="F379" s="133"/>
    </row>
    <row r="380">
      <c r="F380" s="133"/>
    </row>
    <row r="381">
      <c r="F381" s="133"/>
    </row>
    <row r="382">
      <c r="F382" s="133"/>
    </row>
    <row r="383">
      <c r="F383" s="133"/>
    </row>
    <row r="384">
      <c r="F384" s="133"/>
    </row>
    <row r="385">
      <c r="F385" s="133"/>
    </row>
    <row r="386">
      <c r="F386" s="133"/>
    </row>
    <row r="387">
      <c r="F387" s="133"/>
    </row>
    <row r="388">
      <c r="F388" s="133"/>
    </row>
    <row r="389">
      <c r="F389" s="133"/>
    </row>
    <row r="390">
      <c r="F390" s="133"/>
    </row>
    <row r="391">
      <c r="F391" s="133"/>
    </row>
    <row r="392">
      <c r="F392" s="133"/>
    </row>
    <row r="393">
      <c r="F393" s="133"/>
    </row>
    <row r="394">
      <c r="F394" s="133"/>
    </row>
    <row r="395">
      <c r="F395" s="133"/>
    </row>
    <row r="396">
      <c r="F396" s="133"/>
    </row>
    <row r="397">
      <c r="F397" s="133"/>
    </row>
    <row r="398">
      <c r="F398" s="133"/>
    </row>
    <row r="399">
      <c r="F399" s="133"/>
    </row>
    <row r="400">
      <c r="F400" s="133"/>
    </row>
    <row r="401">
      <c r="F401" s="133"/>
    </row>
    <row r="402">
      <c r="F402" s="133"/>
    </row>
    <row r="403">
      <c r="F403" s="133"/>
    </row>
    <row r="404">
      <c r="F404" s="133"/>
    </row>
    <row r="405">
      <c r="F405" s="133"/>
    </row>
    <row r="406">
      <c r="F406" s="133"/>
    </row>
    <row r="407">
      <c r="F407" s="133"/>
    </row>
    <row r="408">
      <c r="F408" s="133"/>
    </row>
    <row r="409">
      <c r="F409" s="133"/>
    </row>
    <row r="410">
      <c r="F410" s="133"/>
    </row>
    <row r="411">
      <c r="F411" s="133"/>
    </row>
    <row r="412">
      <c r="F412" s="133"/>
    </row>
    <row r="413">
      <c r="F413" s="133"/>
    </row>
    <row r="414">
      <c r="F414" s="133"/>
    </row>
    <row r="415">
      <c r="F415" s="133"/>
    </row>
    <row r="416">
      <c r="F416" s="133"/>
    </row>
    <row r="417">
      <c r="F417" s="133"/>
    </row>
    <row r="418">
      <c r="F418" s="133"/>
    </row>
    <row r="419">
      <c r="F419" s="133"/>
    </row>
    <row r="420">
      <c r="F420" s="133"/>
    </row>
    <row r="421">
      <c r="F421" s="133"/>
    </row>
    <row r="422">
      <c r="F422" s="133"/>
    </row>
    <row r="423">
      <c r="F423" s="133"/>
    </row>
    <row r="424">
      <c r="F424" s="133"/>
    </row>
    <row r="425">
      <c r="F425" s="133"/>
    </row>
    <row r="426">
      <c r="F426" s="133"/>
    </row>
    <row r="427">
      <c r="F427" s="133"/>
    </row>
    <row r="428">
      <c r="F428" s="133"/>
    </row>
    <row r="429">
      <c r="F429" s="133"/>
    </row>
    <row r="430">
      <c r="F430" s="133"/>
    </row>
    <row r="431">
      <c r="F431" s="133"/>
    </row>
    <row r="432">
      <c r="F432" s="133"/>
    </row>
    <row r="433">
      <c r="F433" s="133"/>
    </row>
    <row r="434">
      <c r="F434" s="133"/>
    </row>
    <row r="435">
      <c r="F435" s="133"/>
    </row>
    <row r="436">
      <c r="F436" s="133"/>
    </row>
    <row r="437">
      <c r="F437" s="133"/>
    </row>
    <row r="438">
      <c r="F438" s="133"/>
    </row>
    <row r="439">
      <c r="F439" s="133"/>
    </row>
    <row r="440">
      <c r="F440" s="133"/>
    </row>
    <row r="441">
      <c r="F441" s="133"/>
    </row>
    <row r="442">
      <c r="F442" s="133"/>
    </row>
    <row r="443">
      <c r="F443" s="133"/>
    </row>
    <row r="444">
      <c r="F444" s="133"/>
    </row>
    <row r="445">
      <c r="F445" s="133"/>
    </row>
    <row r="446">
      <c r="F446" s="133"/>
    </row>
    <row r="447">
      <c r="F447" s="133"/>
    </row>
    <row r="448">
      <c r="F448" s="133"/>
    </row>
    <row r="449">
      <c r="F449" s="133"/>
    </row>
    <row r="450">
      <c r="F450" s="133"/>
    </row>
    <row r="451">
      <c r="F451" s="133"/>
    </row>
    <row r="452">
      <c r="F452" s="133"/>
    </row>
    <row r="453">
      <c r="F453" s="133"/>
    </row>
    <row r="454">
      <c r="F454" s="133"/>
    </row>
    <row r="455">
      <c r="F455" s="133"/>
    </row>
    <row r="456">
      <c r="F456" s="133"/>
    </row>
    <row r="457">
      <c r="F457" s="133"/>
    </row>
    <row r="458">
      <c r="F458" s="133"/>
    </row>
    <row r="459">
      <c r="F459" s="133"/>
    </row>
    <row r="460">
      <c r="F460" s="133"/>
    </row>
    <row r="461">
      <c r="F461" s="133"/>
    </row>
    <row r="462">
      <c r="F462" s="133"/>
    </row>
    <row r="463">
      <c r="F463" s="133"/>
    </row>
    <row r="464">
      <c r="F464" s="133"/>
    </row>
    <row r="465">
      <c r="F465" s="133"/>
    </row>
    <row r="466">
      <c r="F466" s="133"/>
    </row>
    <row r="467">
      <c r="F467" s="133"/>
    </row>
    <row r="468">
      <c r="F468" s="133"/>
    </row>
    <row r="469">
      <c r="F469" s="133"/>
    </row>
    <row r="470">
      <c r="F470" s="133"/>
    </row>
    <row r="471">
      <c r="F471" s="133"/>
    </row>
    <row r="472">
      <c r="F472" s="133"/>
    </row>
    <row r="473">
      <c r="F473" s="133"/>
    </row>
    <row r="474">
      <c r="F474" s="133"/>
    </row>
    <row r="475">
      <c r="F475" s="133"/>
    </row>
    <row r="476">
      <c r="F476" s="133"/>
    </row>
    <row r="477">
      <c r="F477" s="133"/>
    </row>
    <row r="478">
      <c r="F478" s="133"/>
    </row>
    <row r="479">
      <c r="F479" s="133"/>
    </row>
    <row r="480">
      <c r="F480" s="133"/>
    </row>
    <row r="481">
      <c r="F481" s="133"/>
    </row>
    <row r="482">
      <c r="F482" s="133"/>
    </row>
    <row r="483">
      <c r="F483" s="133"/>
    </row>
    <row r="484">
      <c r="F484" s="133"/>
    </row>
    <row r="485">
      <c r="F485" s="133"/>
    </row>
    <row r="486">
      <c r="F486" s="133"/>
    </row>
    <row r="487">
      <c r="F487" s="133"/>
    </row>
    <row r="488">
      <c r="F488" s="133"/>
    </row>
    <row r="489">
      <c r="F489" s="133"/>
    </row>
    <row r="490">
      <c r="F490" s="133"/>
    </row>
    <row r="491">
      <c r="F491" s="133"/>
    </row>
    <row r="492">
      <c r="F492" s="133"/>
    </row>
    <row r="493">
      <c r="F493" s="133"/>
    </row>
    <row r="494">
      <c r="F494" s="133"/>
    </row>
    <row r="495">
      <c r="F495" s="133"/>
    </row>
    <row r="496">
      <c r="F496" s="133"/>
    </row>
    <row r="497">
      <c r="F497" s="133"/>
    </row>
    <row r="498">
      <c r="F498" s="133"/>
    </row>
    <row r="499">
      <c r="F499" s="133"/>
    </row>
    <row r="500">
      <c r="F500" s="133"/>
    </row>
    <row r="501">
      <c r="F501" s="133"/>
    </row>
    <row r="502">
      <c r="F502" s="133"/>
    </row>
    <row r="503">
      <c r="F503" s="133"/>
    </row>
    <row r="504">
      <c r="F504" s="133"/>
    </row>
    <row r="505">
      <c r="F505" s="133"/>
    </row>
    <row r="506">
      <c r="F506" s="133"/>
    </row>
    <row r="507">
      <c r="F507" s="133"/>
    </row>
    <row r="508">
      <c r="F508" s="133"/>
    </row>
    <row r="509">
      <c r="F509" s="133"/>
    </row>
    <row r="510">
      <c r="F510" s="133"/>
    </row>
    <row r="511">
      <c r="F511" s="133"/>
    </row>
    <row r="512">
      <c r="F512" s="133"/>
    </row>
    <row r="513">
      <c r="F513" s="133"/>
    </row>
    <row r="514">
      <c r="F514" s="133"/>
    </row>
    <row r="515">
      <c r="F515" s="133"/>
    </row>
    <row r="516">
      <c r="F516" s="133"/>
    </row>
    <row r="517">
      <c r="F517" s="133"/>
    </row>
    <row r="518">
      <c r="F518" s="133"/>
    </row>
    <row r="519">
      <c r="F519" s="133"/>
    </row>
    <row r="520">
      <c r="F520" s="133"/>
    </row>
    <row r="521">
      <c r="F521" s="133"/>
    </row>
    <row r="522">
      <c r="F522" s="133"/>
    </row>
    <row r="523">
      <c r="F523" s="133"/>
    </row>
    <row r="524">
      <c r="F524" s="133"/>
    </row>
    <row r="525">
      <c r="F525" s="133"/>
    </row>
    <row r="526">
      <c r="F526" s="133"/>
    </row>
    <row r="527">
      <c r="F527" s="133"/>
    </row>
    <row r="528">
      <c r="F528" s="133"/>
    </row>
    <row r="529">
      <c r="F529" s="133"/>
    </row>
    <row r="530">
      <c r="F530" s="133"/>
    </row>
    <row r="531">
      <c r="F531" s="133"/>
    </row>
    <row r="532">
      <c r="F532" s="133"/>
    </row>
    <row r="533">
      <c r="F533" s="133"/>
    </row>
    <row r="534">
      <c r="F534" s="133"/>
    </row>
    <row r="535">
      <c r="F535" s="133"/>
    </row>
    <row r="536">
      <c r="F536" s="133"/>
    </row>
    <row r="537">
      <c r="F537" s="133"/>
    </row>
    <row r="538">
      <c r="F538" s="133"/>
    </row>
    <row r="539">
      <c r="F539" s="133"/>
    </row>
    <row r="540">
      <c r="F540" s="133"/>
    </row>
    <row r="541">
      <c r="F541" s="133"/>
    </row>
    <row r="542">
      <c r="F542" s="133"/>
    </row>
    <row r="543">
      <c r="F543" s="133"/>
    </row>
    <row r="544">
      <c r="F544" s="133"/>
    </row>
    <row r="545">
      <c r="F545" s="133"/>
    </row>
    <row r="546">
      <c r="F546" s="133"/>
    </row>
    <row r="547">
      <c r="F547" s="133"/>
    </row>
    <row r="548">
      <c r="F548" s="133"/>
    </row>
    <row r="549">
      <c r="F549" s="133"/>
    </row>
    <row r="550">
      <c r="F550" s="133"/>
    </row>
    <row r="551">
      <c r="F551" s="133"/>
    </row>
    <row r="552">
      <c r="F552" s="133"/>
    </row>
    <row r="553">
      <c r="F553" s="133"/>
    </row>
    <row r="554">
      <c r="F554" s="133"/>
    </row>
    <row r="555">
      <c r="F555" s="133"/>
    </row>
    <row r="556">
      <c r="F556" s="133"/>
    </row>
    <row r="557">
      <c r="F557" s="133"/>
    </row>
    <row r="558">
      <c r="F558" s="133"/>
    </row>
    <row r="559">
      <c r="F559" s="133"/>
    </row>
    <row r="560">
      <c r="F560" s="133"/>
    </row>
    <row r="561">
      <c r="F561" s="133"/>
    </row>
    <row r="562">
      <c r="F562" s="133"/>
    </row>
    <row r="563">
      <c r="F563" s="133"/>
    </row>
    <row r="564">
      <c r="F564" s="133"/>
    </row>
    <row r="565">
      <c r="F565" s="133"/>
    </row>
    <row r="566">
      <c r="F566" s="133"/>
    </row>
    <row r="567">
      <c r="F567" s="133"/>
    </row>
    <row r="568">
      <c r="F568" s="133"/>
    </row>
    <row r="569">
      <c r="F569" s="133"/>
    </row>
    <row r="570">
      <c r="F570" s="133"/>
    </row>
    <row r="571">
      <c r="F571" s="133"/>
    </row>
    <row r="572">
      <c r="F572" s="133"/>
    </row>
    <row r="573">
      <c r="F573" s="133"/>
    </row>
    <row r="574">
      <c r="F574" s="133"/>
    </row>
    <row r="575">
      <c r="F575" s="133"/>
    </row>
    <row r="576">
      <c r="F576" s="133"/>
    </row>
    <row r="577">
      <c r="F577" s="133"/>
    </row>
    <row r="578">
      <c r="F578" s="133"/>
    </row>
    <row r="579">
      <c r="F579" s="133"/>
    </row>
    <row r="580">
      <c r="F580" s="133"/>
    </row>
    <row r="581">
      <c r="F581" s="133"/>
    </row>
    <row r="582">
      <c r="F582" s="133"/>
    </row>
    <row r="583">
      <c r="F583" s="133"/>
    </row>
    <row r="584">
      <c r="F584" s="133"/>
    </row>
    <row r="585">
      <c r="F585" s="133"/>
    </row>
    <row r="586">
      <c r="F586" s="133"/>
    </row>
    <row r="587">
      <c r="F587" s="133"/>
    </row>
    <row r="588">
      <c r="F588" s="133"/>
    </row>
    <row r="589">
      <c r="F589" s="133"/>
    </row>
    <row r="590">
      <c r="F590" s="133"/>
    </row>
    <row r="591">
      <c r="F591" s="133"/>
    </row>
    <row r="592">
      <c r="F592" s="133"/>
    </row>
    <row r="593">
      <c r="F593" s="133"/>
    </row>
    <row r="594">
      <c r="F594" s="133"/>
    </row>
    <row r="595">
      <c r="F595" s="133"/>
    </row>
    <row r="596">
      <c r="F596" s="133"/>
    </row>
    <row r="597">
      <c r="F597" s="133"/>
    </row>
    <row r="598">
      <c r="F598" s="133"/>
    </row>
    <row r="599">
      <c r="F599" s="133"/>
    </row>
    <row r="600">
      <c r="F600" s="133"/>
    </row>
    <row r="601">
      <c r="F601" s="133"/>
    </row>
    <row r="602">
      <c r="F602" s="133"/>
    </row>
    <row r="603">
      <c r="F603" s="133"/>
    </row>
    <row r="604">
      <c r="F604" s="133"/>
    </row>
    <row r="605">
      <c r="F605" s="133"/>
    </row>
    <row r="606">
      <c r="F606" s="133"/>
    </row>
    <row r="607">
      <c r="F607" s="133"/>
    </row>
    <row r="608">
      <c r="F608" s="133"/>
    </row>
    <row r="609">
      <c r="F609" s="133"/>
    </row>
    <row r="610">
      <c r="F610" s="133"/>
    </row>
    <row r="611">
      <c r="F611" s="133"/>
    </row>
    <row r="612">
      <c r="F612" s="133"/>
    </row>
    <row r="613">
      <c r="F613" s="133"/>
    </row>
    <row r="614">
      <c r="F614" s="133"/>
    </row>
    <row r="615">
      <c r="F615" s="133"/>
    </row>
    <row r="616">
      <c r="F616" s="133"/>
    </row>
    <row r="617">
      <c r="F617" s="133"/>
    </row>
    <row r="618">
      <c r="F618" s="133"/>
    </row>
    <row r="619">
      <c r="F619" s="133"/>
    </row>
    <row r="620">
      <c r="F620" s="133"/>
    </row>
    <row r="621">
      <c r="F621" s="133"/>
    </row>
    <row r="622">
      <c r="F622" s="133"/>
    </row>
    <row r="623">
      <c r="F623" s="133"/>
    </row>
    <row r="624">
      <c r="F624" s="133"/>
    </row>
    <row r="625">
      <c r="F625" s="133"/>
    </row>
    <row r="626">
      <c r="F626" s="133"/>
    </row>
    <row r="627">
      <c r="F627" s="133"/>
    </row>
    <row r="628">
      <c r="F628" s="133"/>
    </row>
    <row r="629">
      <c r="F629" s="133"/>
    </row>
    <row r="630">
      <c r="F630" s="133"/>
    </row>
    <row r="631">
      <c r="F631" s="133"/>
    </row>
    <row r="632">
      <c r="F632" s="133"/>
    </row>
    <row r="633">
      <c r="F633" s="133"/>
    </row>
    <row r="634">
      <c r="F634" s="133"/>
    </row>
    <row r="635">
      <c r="F635" s="133"/>
    </row>
    <row r="636">
      <c r="F636" s="133"/>
    </row>
    <row r="637">
      <c r="F637" s="133"/>
    </row>
    <row r="638">
      <c r="F638" s="133"/>
    </row>
    <row r="639">
      <c r="F639" s="133"/>
    </row>
    <row r="640">
      <c r="F640" s="133"/>
    </row>
    <row r="641">
      <c r="F641" s="133"/>
    </row>
    <row r="642">
      <c r="F642" s="133"/>
    </row>
    <row r="643">
      <c r="F643" s="133"/>
    </row>
    <row r="644">
      <c r="F644" s="133"/>
    </row>
    <row r="645">
      <c r="F645" s="133"/>
    </row>
    <row r="646">
      <c r="F646" s="133"/>
    </row>
    <row r="647">
      <c r="F647" s="133"/>
    </row>
    <row r="648">
      <c r="F648" s="133"/>
    </row>
    <row r="649">
      <c r="F649" s="133"/>
    </row>
    <row r="650">
      <c r="F650" s="133"/>
    </row>
    <row r="651">
      <c r="F651" s="133"/>
    </row>
    <row r="652">
      <c r="F652" s="133"/>
    </row>
    <row r="653">
      <c r="F653" s="133"/>
    </row>
    <row r="654">
      <c r="F654" s="133"/>
    </row>
    <row r="655">
      <c r="F655" s="133"/>
    </row>
    <row r="656">
      <c r="F656" s="133"/>
    </row>
    <row r="657">
      <c r="F657" s="133"/>
    </row>
    <row r="658">
      <c r="F658" s="133"/>
    </row>
    <row r="659">
      <c r="F659" s="133"/>
    </row>
    <row r="660">
      <c r="F660" s="133"/>
    </row>
    <row r="661">
      <c r="F661" s="133"/>
    </row>
    <row r="662">
      <c r="F662" s="133"/>
    </row>
    <row r="663">
      <c r="F663" s="133"/>
    </row>
    <row r="664">
      <c r="F664" s="133"/>
    </row>
    <row r="665">
      <c r="F665" s="133"/>
    </row>
    <row r="666">
      <c r="F666" s="133"/>
    </row>
    <row r="667">
      <c r="F667" s="133"/>
    </row>
    <row r="668">
      <c r="F668" s="133"/>
    </row>
    <row r="669">
      <c r="F669" s="133"/>
    </row>
    <row r="670">
      <c r="F670" s="133"/>
    </row>
    <row r="671">
      <c r="F671" s="133"/>
    </row>
    <row r="672">
      <c r="F672" s="133"/>
    </row>
    <row r="673">
      <c r="F673" s="133"/>
    </row>
    <row r="674">
      <c r="F674" s="133"/>
    </row>
    <row r="675">
      <c r="F675" s="133"/>
    </row>
    <row r="676">
      <c r="F676" s="133"/>
    </row>
    <row r="677">
      <c r="F677" s="133"/>
    </row>
    <row r="678">
      <c r="F678" s="133"/>
    </row>
    <row r="679">
      <c r="F679" s="133"/>
    </row>
    <row r="680">
      <c r="F680" s="133"/>
    </row>
    <row r="681">
      <c r="F681" s="133"/>
    </row>
    <row r="682">
      <c r="F682" s="133"/>
    </row>
    <row r="683">
      <c r="F683" s="133"/>
    </row>
    <row r="684">
      <c r="F684" s="133"/>
    </row>
    <row r="685">
      <c r="F685" s="133"/>
    </row>
    <row r="686">
      <c r="F686" s="133"/>
    </row>
    <row r="687">
      <c r="F687" s="133"/>
    </row>
    <row r="688">
      <c r="F688" s="133"/>
    </row>
    <row r="689">
      <c r="F689" s="133"/>
    </row>
    <row r="690">
      <c r="F690" s="133"/>
    </row>
    <row r="691">
      <c r="F691" s="133"/>
    </row>
    <row r="692">
      <c r="F692" s="133"/>
    </row>
    <row r="693">
      <c r="F693" s="133"/>
    </row>
    <row r="694">
      <c r="F694" s="133"/>
    </row>
    <row r="695">
      <c r="F695" s="133"/>
    </row>
    <row r="696">
      <c r="F696" s="133"/>
    </row>
    <row r="697">
      <c r="F697" s="133"/>
    </row>
    <row r="698">
      <c r="F698" s="133"/>
    </row>
    <row r="699">
      <c r="F699" s="133"/>
    </row>
    <row r="700">
      <c r="F700" s="133"/>
    </row>
    <row r="701">
      <c r="F701" s="133"/>
    </row>
    <row r="702">
      <c r="F702" s="133"/>
    </row>
    <row r="703">
      <c r="F703" s="133"/>
    </row>
    <row r="704">
      <c r="F704" s="133"/>
    </row>
    <row r="705">
      <c r="F705" s="133"/>
    </row>
    <row r="706">
      <c r="F706" s="133"/>
    </row>
    <row r="707">
      <c r="F707" s="133"/>
    </row>
    <row r="708">
      <c r="F708" s="133"/>
    </row>
    <row r="709">
      <c r="F709" s="133"/>
    </row>
    <row r="710">
      <c r="F710" s="133"/>
    </row>
    <row r="711">
      <c r="F711" s="133"/>
    </row>
    <row r="712">
      <c r="F712" s="133"/>
    </row>
    <row r="713">
      <c r="F713" s="133"/>
    </row>
    <row r="714">
      <c r="F714" s="133"/>
    </row>
    <row r="715">
      <c r="F715" s="133"/>
    </row>
    <row r="716">
      <c r="F716" s="133"/>
    </row>
    <row r="717">
      <c r="F717" s="133"/>
    </row>
    <row r="718">
      <c r="F718" s="133"/>
    </row>
    <row r="719">
      <c r="F719" s="133"/>
    </row>
    <row r="720">
      <c r="F720" s="133"/>
    </row>
    <row r="721">
      <c r="F721" s="133"/>
    </row>
    <row r="722">
      <c r="F722" s="133"/>
    </row>
    <row r="723">
      <c r="F723" s="133"/>
    </row>
    <row r="724">
      <c r="F724" s="133"/>
    </row>
    <row r="725">
      <c r="F725" s="133"/>
    </row>
    <row r="726">
      <c r="F726" s="133"/>
    </row>
    <row r="727">
      <c r="F727" s="133"/>
    </row>
    <row r="728">
      <c r="F728" s="133"/>
    </row>
    <row r="729">
      <c r="F729" s="133"/>
    </row>
    <row r="730">
      <c r="F730" s="133"/>
    </row>
    <row r="731">
      <c r="F731" s="133"/>
    </row>
    <row r="732">
      <c r="F732" s="133"/>
    </row>
    <row r="733">
      <c r="F733" s="133"/>
    </row>
    <row r="734">
      <c r="F734" s="133"/>
    </row>
    <row r="735">
      <c r="F735" s="133"/>
    </row>
    <row r="736">
      <c r="F736" s="133"/>
    </row>
    <row r="737">
      <c r="F737" s="133"/>
    </row>
    <row r="738">
      <c r="F738" s="133"/>
    </row>
    <row r="739">
      <c r="F739" s="133"/>
    </row>
    <row r="740">
      <c r="F740" s="133"/>
    </row>
    <row r="741">
      <c r="F741" s="133"/>
    </row>
    <row r="742">
      <c r="F742" s="133"/>
    </row>
    <row r="743">
      <c r="F743" s="133"/>
    </row>
    <row r="744">
      <c r="F744" s="133"/>
    </row>
    <row r="745">
      <c r="F745" s="133"/>
    </row>
    <row r="746">
      <c r="F746" s="133"/>
    </row>
    <row r="747">
      <c r="F747" s="133"/>
    </row>
    <row r="748">
      <c r="F748" s="133"/>
    </row>
    <row r="749">
      <c r="F749" s="133"/>
    </row>
    <row r="750">
      <c r="F750" s="133"/>
    </row>
    <row r="751">
      <c r="F751" s="133"/>
    </row>
    <row r="752">
      <c r="F752" s="133"/>
    </row>
    <row r="753">
      <c r="F753" s="133"/>
    </row>
    <row r="754">
      <c r="F754" s="133"/>
    </row>
    <row r="755">
      <c r="F755" s="133"/>
    </row>
    <row r="756">
      <c r="F756" s="133"/>
    </row>
    <row r="757">
      <c r="F757" s="133"/>
    </row>
    <row r="758">
      <c r="F758" s="133"/>
    </row>
    <row r="759">
      <c r="F759" s="133"/>
    </row>
    <row r="760">
      <c r="F760" s="133"/>
    </row>
    <row r="761">
      <c r="F761" s="133"/>
    </row>
    <row r="762">
      <c r="F762" s="133"/>
    </row>
    <row r="763">
      <c r="F763" s="133"/>
    </row>
    <row r="764">
      <c r="F764" s="133"/>
    </row>
    <row r="765">
      <c r="F765" s="133"/>
    </row>
    <row r="766">
      <c r="F766" s="133"/>
    </row>
    <row r="767">
      <c r="F767" s="133"/>
    </row>
    <row r="768">
      <c r="F768" s="133"/>
    </row>
    <row r="769">
      <c r="F769" s="133"/>
    </row>
    <row r="770">
      <c r="F770" s="133"/>
    </row>
    <row r="771">
      <c r="F771" s="133"/>
    </row>
    <row r="772">
      <c r="F772" s="133"/>
    </row>
    <row r="773">
      <c r="F773" s="133"/>
    </row>
    <row r="774">
      <c r="F774" s="133"/>
    </row>
    <row r="775">
      <c r="F775" s="133"/>
    </row>
    <row r="776">
      <c r="F776" s="133"/>
    </row>
    <row r="777">
      <c r="F777" s="133"/>
    </row>
    <row r="778">
      <c r="F778" s="133"/>
    </row>
    <row r="779">
      <c r="F779" s="133"/>
    </row>
    <row r="780">
      <c r="F780" s="133"/>
    </row>
    <row r="781">
      <c r="F781" s="133"/>
    </row>
    <row r="782">
      <c r="F782" s="133"/>
    </row>
    <row r="783">
      <c r="F783" s="133"/>
    </row>
    <row r="784">
      <c r="F784" s="133"/>
    </row>
    <row r="785">
      <c r="F785" s="133"/>
    </row>
    <row r="786">
      <c r="F786" s="133"/>
    </row>
    <row r="787">
      <c r="F787" s="133"/>
    </row>
    <row r="788">
      <c r="F788" s="133"/>
    </row>
    <row r="789">
      <c r="F789" s="133"/>
    </row>
    <row r="790">
      <c r="F790" s="133"/>
    </row>
    <row r="791">
      <c r="F791" s="133"/>
    </row>
    <row r="792">
      <c r="F792" s="133"/>
    </row>
    <row r="793">
      <c r="F793" s="133"/>
    </row>
    <row r="794">
      <c r="F794" s="133"/>
    </row>
    <row r="795">
      <c r="F795" s="133"/>
    </row>
    <row r="796">
      <c r="F796" s="133"/>
    </row>
    <row r="797">
      <c r="F797" s="133"/>
    </row>
    <row r="798">
      <c r="F798" s="133"/>
    </row>
    <row r="799">
      <c r="F799" s="133"/>
    </row>
    <row r="800">
      <c r="F800" s="133"/>
    </row>
    <row r="801">
      <c r="F801" s="133"/>
    </row>
    <row r="802">
      <c r="F802" s="133"/>
    </row>
    <row r="803">
      <c r="F803" s="133"/>
    </row>
    <row r="804">
      <c r="F804" s="133"/>
    </row>
    <row r="805">
      <c r="F805" s="133"/>
    </row>
    <row r="806">
      <c r="F806" s="133"/>
    </row>
    <row r="807">
      <c r="F807" s="133"/>
    </row>
    <row r="808">
      <c r="F808" s="133"/>
    </row>
    <row r="809">
      <c r="F809" s="133"/>
    </row>
    <row r="810">
      <c r="F810" s="133"/>
    </row>
    <row r="811">
      <c r="F811" s="133"/>
    </row>
    <row r="812">
      <c r="F812" s="133"/>
    </row>
    <row r="813">
      <c r="F813" s="133"/>
    </row>
    <row r="814">
      <c r="F814" s="133"/>
    </row>
    <row r="815">
      <c r="F815" s="133"/>
    </row>
    <row r="816">
      <c r="F816" s="133"/>
    </row>
    <row r="817">
      <c r="F817" s="133"/>
    </row>
    <row r="818">
      <c r="F818" s="133"/>
    </row>
    <row r="819">
      <c r="F819" s="133"/>
    </row>
    <row r="820">
      <c r="F820" s="133"/>
    </row>
    <row r="821">
      <c r="F821" s="133"/>
    </row>
    <row r="822">
      <c r="F822" s="133"/>
    </row>
    <row r="823">
      <c r="F823" s="133"/>
    </row>
    <row r="824">
      <c r="F824" s="133"/>
    </row>
    <row r="825">
      <c r="F825" s="133"/>
    </row>
    <row r="826">
      <c r="F826" s="133"/>
    </row>
    <row r="827">
      <c r="F827" s="133"/>
    </row>
    <row r="828">
      <c r="F828" s="133"/>
    </row>
    <row r="829">
      <c r="F829" s="133"/>
    </row>
    <row r="830">
      <c r="F830" s="133"/>
    </row>
    <row r="831">
      <c r="F831" s="133"/>
    </row>
    <row r="832">
      <c r="F832" s="133"/>
    </row>
    <row r="833">
      <c r="F833" s="133"/>
    </row>
    <row r="834">
      <c r="F834" s="133"/>
    </row>
    <row r="835">
      <c r="F835" s="133"/>
    </row>
    <row r="836">
      <c r="F836" s="133"/>
    </row>
    <row r="837">
      <c r="F837" s="133"/>
    </row>
    <row r="838">
      <c r="F838" s="133"/>
    </row>
    <row r="839">
      <c r="F839" s="133"/>
    </row>
    <row r="840">
      <c r="F840" s="133"/>
    </row>
    <row r="841">
      <c r="F841" s="133"/>
    </row>
    <row r="842">
      <c r="F842" s="133"/>
    </row>
    <row r="843">
      <c r="F843" s="133"/>
    </row>
    <row r="844">
      <c r="F844" s="133"/>
    </row>
    <row r="845">
      <c r="F845" s="133"/>
    </row>
    <row r="846">
      <c r="F846" s="133"/>
    </row>
    <row r="847">
      <c r="F847" s="133"/>
    </row>
    <row r="848">
      <c r="F848" s="133"/>
    </row>
    <row r="849">
      <c r="F849" s="133"/>
    </row>
    <row r="850">
      <c r="F850" s="133"/>
    </row>
    <row r="851">
      <c r="F851" s="133"/>
    </row>
    <row r="852">
      <c r="F852" s="133"/>
    </row>
    <row r="853">
      <c r="F853" s="133"/>
    </row>
    <row r="854">
      <c r="F854" s="133"/>
    </row>
    <row r="855">
      <c r="F855" s="133"/>
    </row>
    <row r="856">
      <c r="F856" s="133"/>
    </row>
    <row r="857">
      <c r="F857" s="133"/>
    </row>
    <row r="858">
      <c r="F858" s="133"/>
    </row>
    <row r="859">
      <c r="F859" s="133"/>
    </row>
    <row r="860">
      <c r="F860" s="133"/>
    </row>
    <row r="861">
      <c r="F861" s="133"/>
    </row>
    <row r="862">
      <c r="F862" s="133"/>
    </row>
    <row r="863">
      <c r="F863" s="133"/>
    </row>
    <row r="864">
      <c r="F864" s="133"/>
    </row>
    <row r="865">
      <c r="F865" s="133"/>
    </row>
    <row r="866">
      <c r="F866" s="133"/>
    </row>
    <row r="867">
      <c r="F867" s="133"/>
    </row>
    <row r="868">
      <c r="F868" s="133"/>
    </row>
    <row r="869">
      <c r="F869" s="133"/>
    </row>
    <row r="870">
      <c r="F870" s="133"/>
    </row>
    <row r="871">
      <c r="F871" s="133"/>
    </row>
    <row r="872">
      <c r="F872" s="133"/>
    </row>
    <row r="873">
      <c r="F873" s="133"/>
    </row>
    <row r="874">
      <c r="F874" s="133"/>
    </row>
    <row r="875">
      <c r="F875" s="133"/>
    </row>
    <row r="876">
      <c r="F876" s="133"/>
    </row>
    <row r="877">
      <c r="F877" s="133"/>
    </row>
    <row r="878">
      <c r="F878" s="133"/>
    </row>
    <row r="879">
      <c r="F879" s="133"/>
    </row>
    <row r="880">
      <c r="F880" s="133"/>
    </row>
    <row r="881">
      <c r="F881" s="133"/>
    </row>
    <row r="882">
      <c r="F882" s="133"/>
    </row>
    <row r="883">
      <c r="F883" s="133"/>
    </row>
    <row r="884">
      <c r="F884" s="133"/>
    </row>
    <row r="885">
      <c r="F885" s="133"/>
    </row>
    <row r="886">
      <c r="F886" s="133"/>
    </row>
    <row r="887">
      <c r="F887" s="133"/>
    </row>
    <row r="888">
      <c r="F888" s="133"/>
    </row>
    <row r="889">
      <c r="F889" s="133"/>
    </row>
    <row r="890">
      <c r="F890" s="133"/>
    </row>
    <row r="891">
      <c r="F891" s="133"/>
    </row>
    <row r="892">
      <c r="F892" s="133"/>
    </row>
    <row r="893">
      <c r="F893" s="133"/>
    </row>
    <row r="894">
      <c r="F894" s="133"/>
    </row>
    <row r="895">
      <c r="F895" s="133"/>
    </row>
    <row r="896">
      <c r="F896" s="133"/>
    </row>
    <row r="897">
      <c r="F897" s="133"/>
    </row>
    <row r="898">
      <c r="F898" s="133"/>
    </row>
    <row r="899">
      <c r="F899" s="133"/>
    </row>
    <row r="900">
      <c r="F900" s="133"/>
    </row>
    <row r="901">
      <c r="F901" s="133"/>
    </row>
    <row r="902">
      <c r="F902" s="133"/>
    </row>
    <row r="903">
      <c r="F903" s="133"/>
    </row>
    <row r="904">
      <c r="F904" s="133"/>
    </row>
    <row r="905">
      <c r="F905" s="133"/>
    </row>
    <row r="906">
      <c r="F906" s="133"/>
    </row>
    <row r="907">
      <c r="F907" s="133"/>
    </row>
    <row r="908">
      <c r="F908" s="133"/>
    </row>
    <row r="909">
      <c r="F909" s="133"/>
    </row>
    <row r="910">
      <c r="F910" s="133"/>
    </row>
    <row r="911">
      <c r="F911" s="133"/>
    </row>
    <row r="912">
      <c r="F912" s="133"/>
    </row>
    <row r="913">
      <c r="F913" s="133"/>
    </row>
    <row r="914">
      <c r="F914" s="133"/>
    </row>
    <row r="915">
      <c r="F915" s="133"/>
    </row>
    <row r="916">
      <c r="F916" s="133"/>
    </row>
    <row r="917">
      <c r="F917" s="133"/>
    </row>
    <row r="918">
      <c r="F918" s="133"/>
    </row>
    <row r="919">
      <c r="F919" s="133"/>
    </row>
    <row r="920">
      <c r="F920" s="133"/>
    </row>
    <row r="921">
      <c r="F921" s="133"/>
    </row>
    <row r="922">
      <c r="F922" s="133"/>
    </row>
    <row r="923">
      <c r="F923" s="133"/>
    </row>
    <row r="924">
      <c r="F924" s="133"/>
    </row>
    <row r="925">
      <c r="F925" s="133"/>
    </row>
    <row r="926">
      <c r="F926" s="133"/>
    </row>
    <row r="927">
      <c r="F927" s="133"/>
    </row>
    <row r="928">
      <c r="F928" s="133"/>
    </row>
    <row r="929">
      <c r="F929" s="133"/>
    </row>
    <row r="930">
      <c r="F930" s="133"/>
    </row>
    <row r="931">
      <c r="F931" s="133"/>
    </row>
    <row r="932">
      <c r="F932" s="133"/>
    </row>
    <row r="933">
      <c r="F933" s="133"/>
    </row>
    <row r="934">
      <c r="F934" s="133"/>
    </row>
    <row r="935">
      <c r="F935" s="133"/>
    </row>
    <row r="936">
      <c r="F936" s="133"/>
    </row>
    <row r="937">
      <c r="F937" s="133"/>
    </row>
    <row r="938">
      <c r="F938" s="133"/>
    </row>
    <row r="939">
      <c r="F939" s="133"/>
    </row>
    <row r="940">
      <c r="F940" s="133"/>
    </row>
    <row r="941">
      <c r="F941" s="133"/>
    </row>
    <row r="942">
      <c r="F942" s="133"/>
    </row>
    <row r="943">
      <c r="F943" s="133"/>
    </row>
    <row r="944">
      <c r="F944" s="133"/>
    </row>
    <row r="945">
      <c r="F945" s="133"/>
    </row>
    <row r="946">
      <c r="F946" s="133"/>
    </row>
    <row r="947">
      <c r="F947" s="133"/>
    </row>
    <row r="948">
      <c r="F948" s="133"/>
    </row>
    <row r="949">
      <c r="F949" s="133"/>
    </row>
    <row r="950">
      <c r="F950" s="133"/>
    </row>
    <row r="951">
      <c r="F951" s="133"/>
    </row>
    <row r="952">
      <c r="F952" s="133"/>
    </row>
    <row r="953">
      <c r="F953" s="133"/>
    </row>
    <row r="954">
      <c r="F954" s="133"/>
    </row>
    <row r="955">
      <c r="F955" s="133"/>
    </row>
    <row r="956">
      <c r="F956" s="133"/>
    </row>
    <row r="957">
      <c r="F957" s="133"/>
    </row>
    <row r="958">
      <c r="F958" s="133"/>
    </row>
    <row r="959">
      <c r="F959" s="133"/>
    </row>
    <row r="960">
      <c r="F960" s="133"/>
    </row>
    <row r="961">
      <c r="F961" s="133"/>
    </row>
    <row r="962">
      <c r="F962" s="133"/>
    </row>
    <row r="963">
      <c r="F963" s="133"/>
    </row>
    <row r="964">
      <c r="F964" s="133"/>
    </row>
    <row r="965">
      <c r="F965" s="133"/>
    </row>
    <row r="966">
      <c r="F966" s="133"/>
    </row>
    <row r="967">
      <c r="F967" s="133"/>
    </row>
    <row r="968">
      <c r="F968" s="133"/>
    </row>
    <row r="969">
      <c r="F969" s="133"/>
    </row>
    <row r="970">
      <c r="F970" s="133"/>
    </row>
    <row r="971">
      <c r="F971" s="133"/>
    </row>
    <row r="972">
      <c r="F972" s="133"/>
    </row>
    <row r="973">
      <c r="F973" s="133"/>
    </row>
    <row r="974">
      <c r="F974" s="133"/>
    </row>
    <row r="975">
      <c r="F975" s="133"/>
    </row>
    <row r="976">
      <c r="F976" s="133"/>
    </row>
    <row r="977">
      <c r="F977" s="133"/>
    </row>
    <row r="978">
      <c r="F978" s="133"/>
    </row>
    <row r="979">
      <c r="F979" s="133"/>
    </row>
    <row r="980">
      <c r="F980" s="133"/>
    </row>
    <row r="981">
      <c r="F981" s="133"/>
    </row>
    <row r="982">
      <c r="F982" s="133"/>
    </row>
    <row r="983">
      <c r="F983" s="133"/>
    </row>
    <row r="984">
      <c r="F984" s="133"/>
    </row>
    <row r="985">
      <c r="F985" s="133"/>
    </row>
    <row r="986">
      <c r="F986" s="133"/>
    </row>
    <row r="987">
      <c r="F987" s="133"/>
    </row>
    <row r="988">
      <c r="F988" s="133"/>
    </row>
    <row r="989">
      <c r="F989" s="133"/>
    </row>
    <row r="990">
      <c r="F990" s="133"/>
    </row>
    <row r="991">
      <c r="F991" s="133"/>
    </row>
    <row r="992">
      <c r="F992" s="133"/>
    </row>
    <row r="993">
      <c r="F993" s="133"/>
    </row>
    <row r="994">
      <c r="F994" s="133"/>
    </row>
    <row r="995">
      <c r="F995" s="133"/>
    </row>
    <row r="996">
      <c r="F996" s="133"/>
    </row>
    <row r="997">
      <c r="F997" s="133"/>
    </row>
    <row r="998">
      <c r="F998" s="133"/>
    </row>
    <row r="999">
      <c r="F999" s="133"/>
    </row>
    <row r="1000">
      <c r="F1000" s="133"/>
    </row>
    <row r="1001">
      <c r="F1001" s="133"/>
    </row>
    <row r="1002">
      <c r="F1002" s="133"/>
    </row>
    <row r="1003">
      <c r="F1003" s="133"/>
    </row>
    <row r="1004">
      <c r="F1004" s="133"/>
    </row>
    <row r="1005">
      <c r="F1005" s="133"/>
    </row>
    <row r="1006">
      <c r="F1006" s="133"/>
    </row>
    <row r="1007">
      <c r="F1007" s="133"/>
    </row>
    <row r="1008">
      <c r="F1008" s="133"/>
    </row>
    <row r="1009">
      <c r="F1009" s="133"/>
    </row>
    <row r="1010">
      <c r="F1010" s="133"/>
    </row>
    <row r="1011">
      <c r="F1011" s="133"/>
    </row>
    <row r="1012">
      <c r="F1012" s="133"/>
    </row>
    <row r="1013">
      <c r="F1013" s="133"/>
    </row>
    <row r="1014">
      <c r="F1014" s="133"/>
    </row>
    <row r="1015">
      <c r="F1015" s="133"/>
    </row>
    <row r="1016">
      <c r="F1016" s="133"/>
    </row>
  </sheetData>
  <mergeCells count="11">
    <mergeCell ref="A60:C60"/>
    <mergeCell ref="A63:C63"/>
    <mergeCell ref="E63:G63"/>
    <mergeCell ref="K63:M63"/>
    <mergeCell ref="A1:C1"/>
    <mergeCell ref="A2:C2"/>
    <mergeCell ref="A3:C3"/>
    <mergeCell ref="E3:G3"/>
    <mergeCell ref="K3:M3"/>
    <mergeCell ref="A37:B37"/>
    <mergeCell ref="A59:C59"/>
  </mergeCells>
  <dataValidations>
    <dataValidation type="list" allowBlank="1" showErrorMessage="1" sqref="I5:I37">
      <formula1>"COS,SIAGI,VOUCHER,SALES,RUNCHISE"</formula1>
    </dataValidation>
  </dataValidations>
  <hyperlinks>
    <hyperlink r:id="rId1" ref="G6"/>
  </hyperlinks>
  <printOptions gridLines="1" horizontalCentered="1"/>
  <pageMargins bottom="0.75" footer="0.0" header="0.0" left="0.25" right="0.25" top="0.75"/>
  <pageSetup fitToHeight="0" paperSize="9" cellComments="atEnd" orientation="landscape" pageOrder="overThenDown"/>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6.25"/>
    <col customWidth="1" min="5" max="5" width="44.25"/>
    <col customWidth="1" min="6" max="6" width="20.88"/>
    <col customWidth="1" min="7" max="8" width="46.25"/>
    <col customWidth="1" min="9" max="9" width="17.0"/>
    <col customWidth="1" min="10" max="10" width="16.63"/>
    <col customWidth="1" min="11" max="11" width="17.5"/>
    <col customWidth="1" min="14" max="14" width="31.88"/>
    <col customWidth="1" min="15" max="15" width="20.63"/>
  </cols>
  <sheetData>
    <row r="1">
      <c r="A1" s="2" t="s">
        <v>1</v>
      </c>
      <c r="B1" s="2" t="s">
        <v>2</v>
      </c>
      <c r="C1" s="134" t="s">
        <v>390</v>
      </c>
      <c r="D1" s="2" t="s">
        <v>4</v>
      </c>
      <c r="E1" s="4" t="s">
        <v>147</v>
      </c>
      <c r="F1" s="2" t="s">
        <v>6</v>
      </c>
      <c r="G1" s="134" t="s">
        <v>236</v>
      </c>
      <c r="H1" s="134" t="s">
        <v>391</v>
      </c>
      <c r="I1" s="4" t="s">
        <v>9</v>
      </c>
      <c r="J1" s="2" t="s">
        <v>10</v>
      </c>
      <c r="K1" s="5" t="s">
        <v>11</v>
      </c>
      <c r="L1" s="5" t="s">
        <v>12</v>
      </c>
      <c r="M1" s="2" t="s">
        <v>13</v>
      </c>
      <c r="N1" s="4" t="s">
        <v>14</v>
      </c>
      <c r="O1" s="2" t="s">
        <v>15</v>
      </c>
      <c r="P1" s="3"/>
      <c r="Q1" s="3"/>
      <c r="R1" s="3"/>
      <c r="S1" s="3"/>
      <c r="T1" s="3"/>
      <c r="U1" s="3"/>
      <c r="V1" s="3"/>
      <c r="W1" s="3"/>
      <c r="X1" s="3"/>
      <c r="Y1" s="3"/>
      <c r="Z1" s="3"/>
      <c r="AA1" s="3"/>
      <c r="AB1" s="3"/>
    </row>
    <row r="2">
      <c r="A2" s="135">
        <v>1.0</v>
      </c>
      <c r="B2" s="136">
        <v>46023.0</v>
      </c>
      <c r="C2" s="39">
        <v>0.4708333333333333</v>
      </c>
      <c r="D2" s="37" t="s">
        <v>16</v>
      </c>
      <c r="E2" s="37" t="s">
        <v>17</v>
      </c>
      <c r="F2" s="40" t="s">
        <v>18</v>
      </c>
      <c r="G2" s="37"/>
      <c r="H2" s="37" t="s">
        <v>19</v>
      </c>
      <c r="I2" s="37" t="s">
        <v>20</v>
      </c>
      <c r="J2" s="37" t="s">
        <v>21</v>
      </c>
      <c r="K2" s="73" t="s">
        <v>22</v>
      </c>
      <c r="L2" s="39">
        <v>0.4708333333333333</v>
      </c>
      <c r="M2" s="39">
        <v>0.875</v>
      </c>
      <c r="N2" s="36"/>
      <c r="O2" s="137"/>
    </row>
    <row r="3">
      <c r="A3" s="135">
        <v>2.0</v>
      </c>
      <c r="B3" s="136">
        <v>46023.0</v>
      </c>
      <c r="C3" s="39">
        <v>0.5479166666666667</v>
      </c>
      <c r="D3" s="37" t="s">
        <v>23</v>
      </c>
      <c r="E3" s="37" t="s">
        <v>24</v>
      </c>
      <c r="F3" s="40" t="s">
        <v>18</v>
      </c>
      <c r="G3" s="37"/>
      <c r="H3" s="37" t="s">
        <v>25</v>
      </c>
      <c r="I3" s="37" t="s">
        <v>26</v>
      </c>
      <c r="J3" s="37" t="s">
        <v>21</v>
      </c>
      <c r="K3" s="73" t="s">
        <v>22</v>
      </c>
      <c r="L3" s="39">
        <v>0.5486111111111112</v>
      </c>
      <c r="M3" s="36"/>
      <c r="N3" s="37" t="s">
        <v>27</v>
      </c>
      <c r="O3" s="137"/>
    </row>
    <row r="4">
      <c r="A4" s="135">
        <v>3.0</v>
      </c>
      <c r="B4" s="136">
        <v>46025.0</v>
      </c>
      <c r="C4" s="39">
        <v>0.6222222222222222</v>
      </c>
      <c r="D4" s="37" t="s">
        <v>33</v>
      </c>
      <c r="E4" s="37" t="s">
        <v>34</v>
      </c>
      <c r="F4" s="40" t="s">
        <v>18</v>
      </c>
      <c r="G4" s="40" t="s">
        <v>392</v>
      </c>
      <c r="H4" s="40" t="s">
        <v>35</v>
      </c>
      <c r="I4" s="37" t="s">
        <v>20</v>
      </c>
      <c r="J4" s="37" t="s">
        <v>21</v>
      </c>
      <c r="K4" s="80" t="s">
        <v>22</v>
      </c>
      <c r="L4" s="36"/>
      <c r="M4" s="36"/>
      <c r="N4" s="37" t="s">
        <v>36</v>
      </c>
      <c r="O4" s="137"/>
    </row>
    <row r="5">
      <c r="A5" s="135">
        <v>4.0</v>
      </c>
      <c r="B5" s="138">
        <v>46025.0</v>
      </c>
      <c r="C5" s="72">
        <v>0.37777777777777777</v>
      </c>
      <c r="D5" s="73" t="s">
        <v>149</v>
      </c>
      <c r="E5" s="74" t="s">
        <v>150</v>
      </c>
      <c r="F5" s="74" t="s">
        <v>18</v>
      </c>
      <c r="G5" s="74" t="s">
        <v>393</v>
      </c>
      <c r="H5" s="74" t="s">
        <v>151</v>
      </c>
      <c r="I5" s="73" t="s">
        <v>40</v>
      </c>
      <c r="J5" s="73" t="s">
        <v>21</v>
      </c>
      <c r="K5" s="73" t="s">
        <v>22</v>
      </c>
      <c r="L5" s="72">
        <v>0.37777777777777777</v>
      </c>
      <c r="M5" s="72">
        <v>0.3888888888888889</v>
      </c>
      <c r="N5" s="75"/>
      <c r="O5" s="75"/>
    </row>
    <row r="6">
      <c r="A6" s="135">
        <v>5.0</v>
      </c>
      <c r="B6" s="138">
        <v>46025.0</v>
      </c>
      <c r="C6" s="72">
        <v>0.41388888888888886</v>
      </c>
      <c r="D6" s="73" t="s">
        <v>152</v>
      </c>
      <c r="E6" s="74" t="s">
        <v>153</v>
      </c>
      <c r="F6" s="74" t="s">
        <v>18</v>
      </c>
      <c r="G6" s="74" t="s">
        <v>394</v>
      </c>
      <c r="H6" s="74" t="s">
        <v>154</v>
      </c>
      <c r="I6" s="73" t="s">
        <v>40</v>
      </c>
      <c r="J6" s="73" t="s">
        <v>21</v>
      </c>
      <c r="K6" s="73" t="s">
        <v>22</v>
      </c>
      <c r="L6" s="72">
        <v>0.41458333333333336</v>
      </c>
      <c r="M6" s="72">
        <v>0.5368055555555555</v>
      </c>
      <c r="N6" s="75"/>
      <c r="O6" s="75"/>
    </row>
    <row r="7">
      <c r="A7" s="135">
        <v>6.0</v>
      </c>
      <c r="B7" s="138">
        <v>46025.0</v>
      </c>
      <c r="C7" s="72">
        <v>0.6416666666666667</v>
      </c>
      <c r="D7" s="73" t="s">
        <v>287</v>
      </c>
      <c r="E7" s="73" t="s">
        <v>288</v>
      </c>
      <c r="F7" s="74" t="s">
        <v>18</v>
      </c>
      <c r="G7" s="74" t="s">
        <v>395</v>
      </c>
      <c r="H7" s="74" t="s">
        <v>289</v>
      </c>
      <c r="I7" s="73" t="s">
        <v>20</v>
      </c>
      <c r="J7" s="73" t="s">
        <v>21</v>
      </c>
      <c r="K7" s="73" t="s">
        <v>22</v>
      </c>
      <c r="L7" s="72">
        <v>0.6222222222222222</v>
      </c>
      <c r="M7" s="72">
        <v>0.6270833333333333</v>
      </c>
      <c r="N7" s="75"/>
      <c r="O7" s="75"/>
    </row>
    <row r="8">
      <c r="A8" s="135">
        <v>7.0</v>
      </c>
      <c r="B8" s="136">
        <v>46028.0</v>
      </c>
      <c r="C8" s="39">
        <v>0.5701388888888889</v>
      </c>
      <c r="D8" s="37" t="s">
        <v>37</v>
      </c>
      <c r="E8" s="139" t="s">
        <v>396</v>
      </c>
      <c r="F8" s="40" t="s">
        <v>18</v>
      </c>
      <c r="G8" s="40" t="s">
        <v>397</v>
      </c>
      <c r="H8" s="40" t="s">
        <v>39</v>
      </c>
      <c r="I8" s="37" t="s">
        <v>40</v>
      </c>
      <c r="J8" s="37" t="s">
        <v>21</v>
      </c>
      <c r="K8" s="37" t="s">
        <v>22</v>
      </c>
      <c r="L8" s="39">
        <v>0.4527777777777778</v>
      </c>
      <c r="M8" s="39">
        <v>0.47291666666666665</v>
      </c>
      <c r="N8" s="36"/>
      <c r="O8" s="137"/>
    </row>
    <row r="9">
      <c r="A9" s="135">
        <v>8.0</v>
      </c>
      <c r="B9" s="138">
        <v>46028.0</v>
      </c>
      <c r="C9" s="72">
        <v>0.43333333333333335</v>
      </c>
      <c r="D9" s="73" t="s">
        <v>152</v>
      </c>
      <c r="E9" s="74" t="s">
        <v>155</v>
      </c>
      <c r="F9" s="74" t="s">
        <v>18</v>
      </c>
      <c r="G9" s="73"/>
      <c r="H9" s="73" t="s">
        <v>156</v>
      </c>
      <c r="I9" s="73" t="s">
        <v>398</v>
      </c>
      <c r="J9" s="73" t="s">
        <v>21</v>
      </c>
      <c r="K9" s="73" t="s">
        <v>22</v>
      </c>
      <c r="L9" s="75"/>
      <c r="M9" s="75"/>
      <c r="N9" s="75"/>
      <c r="O9" s="75"/>
    </row>
    <row r="10">
      <c r="A10" s="135">
        <v>9.0</v>
      </c>
      <c r="B10" s="138">
        <v>46028.0</v>
      </c>
      <c r="C10" s="72">
        <v>0.5645833333333333</v>
      </c>
      <c r="D10" s="73" t="s">
        <v>399</v>
      </c>
      <c r="E10" s="74" t="s">
        <v>158</v>
      </c>
      <c r="F10" s="74" t="s">
        <v>18</v>
      </c>
      <c r="G10" s="74" t="s">
        <v>400</v>
      </c>
      <c r="H10" s="74" t="s">
        <v>159</v>
      </c>
      <c r="I10" s="73" t="s">
        <v>40</v>
      </c>
      <c r="J10" s="73" t="s">
        <v>21</v>
      </c>
      <c r="K10" s="73" t="s">
        <v>22</v>
      </c>
      <c r="L10" s="72">
        <v>0.5652777777777778</v>
      </c>
      <c r="M10" s="72">
        <v>0.6243055555555556</v>
      </c>
      <c r="N10" s="75"/>
      <c r="O10" s="75"/>
    </row>
    <row r="11">
      <c r="A11" s="135">
        <v>10.0</v>
      </c>
      <c r="B11" s="138">
        <v>46028.0</v>
      </c>
      <c r="C11" s="72"/>
      <c r="D11" s="73" t="s">
        <v>287</v>
      </c>
      <c r="E11" s="74" t="s">
        <v>290</v>
      </c>
      <c r="F11" s="74" t="s">
        <v>18</v>
      </c>
      <c r="G11" s="74" t="s">
        <v>401</v>
      </c>
      <c r="H11" s="73" t="s">
        <v>291</v>
      </c>
      <c r="I11" s="73" t="s">
        <v>398</v>
      </c>
      <c r="J11" s="73" t="s">
        <v>21</v>
      </c>
      <c r="K11" s="73" t="s">
        <v>22</v>
      </c>
      <c r="L11" s="75"/>
      <c r="M11" s="75"/>
      <c r="N11" s="75"/>
      <c r="O11" s="75"/>
    </row>
    <row r="12">
      <c r="A12" s="135">
        <v>11.0</v>
      </c>
      <c r="B12" s="138">
        <v>46030.0</v>
      </c>
      <c r="C12" s="72">
        <v>0.4388888888888889</v>
      </c>
      <c r="D12" s="73" t="s">
        <v>287</v>
      </c>
      <c r="E12" s="73" t="s">
        <v>295</v>
      </c>
      <c r="F12" s="74" t="s">
        <v>18</v>
      </c>
      <c r="G12" s="74" t="s">
        <v>402</v>
      </c>
      <c r="H12" s="74" t="s">
        <v>296</v>
      </c>
      <c r="I12" s="73" t="s">
        <v>40</v>
      </c>
      <c r="J12" s="73" t="s">
        <v>21</v>
      </c>
      <c r="K12" s="73" t="s">
        <v>22</v>
      </c>
      <c r="L12" s="72">
        <v>0.4409722222222222</v>
      </c>
      <c r="M12" s="72">
        <v>0.46041666666666664</v>
      </c>
      <c r="N12" s="75"/>
      <c r="O12" s="75"/>
    </row>
    <row r="13">
      <c r="A13" s="135">
        <v>12.0</v>
      </c>
      <c r="B13" s="136">
        <v>46034.0</v>
      </c>
      <c r="C13" s="39">
        <v>0.4534722222222222</v>
      </c>
      <c r="D13" s="37" t="s">
        <v>41</v>
      </c>
      <c r="E13" s="37" t="s">
        <v>42</v>
      </c>
      <c r="F13" s="40" t="s">
        <v>18</v>
      </c>
      <c r="G13" s="40" t="s">
        <v>402</v>
      </c>
      <c r="H13" s="40" t="s">
        <v>43</v>
      </c>
      <c r="I13" s="37" t="s">
        <v>44</v>
      </c>
      <c r="J13" s="37" t="s">
        <v>21</v>
      </c>
      <c r="K13" s="73" t="s">
        <v>22</v>
      </c>
      <c r="L13" s="39">
        <v>0.4444444444444444</v>
      </c>
      <c r="M13" s="39">
        <v>0.46041666666666664</v>
      </c>
      <c r="N13" s="36"/>
      <c r="O13" s="137"/>
    </row>
    <row r="14">
      <c r="A14" s="135">
        <v>13.0</v>
      </c>
      <c r="B14" s="136">
        <v>46034.0</v>
      </c>
      <c r="C14" s="39">
        <v>0.5333333333333333</v>
      </c>
      <c r="D14" s="37" t="s">
        <v>41</v>
      </c>
      <c r="E14" s="40" t="s">
        <v>64</v>
      </c>
      <c r="F14" s="40" t="s">
        <v>18</v>
      </c>
      <c r="G14" s="37"/>
      <c r="H14" s="37" t="s">
        <v>65</v>
      </c>
      <c r="I14" s="37" t="s">
        <v>62</v>
      </c>
      <c r="J14" s="37" t="s">
        <v>21</v>
      </c>
      <c r="K14" s="73" t="s">
        <v>22</v>
      </c>
      <c r="L14" s="39">
        <v>0.5340277777777778</v>
      </c>
      <c r="M14" s="36"/>
      <c r="N14" s="36"/>
      <c r="O14" s="137"/>
    </row>
    <row r="15">
      <c r="A15" s="135">
        <v>14.0</v>
      </c>
      <c r="B15" s="136">
        <v>46034.0</v>
      </c>
      <c r="C15" s="39">
        <v>0.49375</v>
      </c>
      <c r="D15" s="37" t="s">
        <v>33</v>
      </c>
      <c r="E15" s="40" t="s">
        <v>67</v>
      </c>
      <c r="F15" s="40" t="s">
        <v>18</v>
      </c>
      <c r="G15" s="37"/>
      <c r="H15" s="37" t="s">
        <v>68</v>
      </c>
      <c r="I15" s="37" t="s">
        <v>62</v>
      </c>
      <c r="J15" s="37" t="s">
        <v>21</v>
      </c>
      <c r="K15" s="73" t="s">
        <v>22</v>
      </c>
      <c r="L15" s="39">
        <v>0.49444444444444446</v>
      </c>
      <c r="M15" s="39">
        <v>0.8819444444444444</v>
      </c>
      <c r="N15" s="36"/>
      <c r="O15" s="137"/>
    </row>
    <row r="16">
      <c r="A16" s="135">
        <v>15.0</v>
      </c>
      <c r="B16" s="136">
        <v>46035.0</v>
      </c>
      <c r="C16" s="39">
        <v>0.44166666666666665</v>
      </c>
      <c r="D16" s="37" t="s">
        <v>41</v>
      </c>
      <c r="E16" s="40" t="s">
        <v>49</v>
      </c>
      <c r="F16" s="40" t="s">
        <v>18</v>
      </c>
      <c r="G16" s="40" t="s">
        <v>403</v>
      </c>
      <c r="H16" s="40" t="s">
        <v>50</v>
      </c>
      <c r="I16" s="37" t="s">
        <v>44</v>
      </c>
      <c r="J16" s="37" t="s">
        <v>21</v>
      </c>
      <c r="K16" s="80" t="s">
        <v>22</v>
      </c>
      <c r="L16" s="39">
        <v>0.44166666666666665</v>
      </c>
      <c r="M16" s="39">
        <v>0.47291666666666665</v>
      </c>
      <c r="N16" s="36"/>
      <c r="O16" s="137"/>
    </row>
    <row r="17">
      <c r="A17" s="135">
        <v>16.0</v>
      </c>
      <c r="B17" s="136">
        <v>46039.0</v>
      </c>
      <c r="C17" s="39">
        <v>0.7659722222222223</v>
      </c>
      <c r="D17" s="37" t="s">
        <v>37</v>
      </c>
      <c r="E17" s="40" t="s">
        <v>60</v>
      </c>
      <c r="F17" s="40" t="s">
        <v>18</v>
      </c>
      <c r="G17" s="40" t="s">
        <v>404</v>
      </c>
      <c r="H17" s="37" t="s">
        <v>61</v>
      </c>
      <c r="I17" s="37" t="s">
        <v>62</v>
      </c>
      <c r="J17" s="37" t="s">
        <v>21</v>
      </c>
      <c r="K17" s="37" t="s">
        <v>22</v>
      </c>
      <c r="L17" s="39">
        <v>0.7680555555555556</v>
      </c>
      <c r="M17" s="39">
        <v>0.76875</v>
      </c>
      <c r="N17" s="36"/>
      <c r="O17" s="137"/>
    </row>
    <row r="18">
      <c r="A18" s="135">
        <v>17.0</v>
      </c>
      <c r="B18" s="138">
        <v>46039.0</v>
      </c>
      <c r="C18" s="72">
        <v>0.7104166666666667</v>
      </c>
      <c r="D18" s="73" t="s">
        <v>196</v>
      </c>
      <c r="E18" s="130" t="s">
        <v>197</v>
      </c>
      <c r="F18" s="74" t="s">
        <v>18</v>
      </c>
      <c r="G18" s="74" t="s">
        <v>405</v>
      </c>
      <c r="H18" s="73" t="s">
        <v>198</v>
      </c>
      <c r="I18" s="73" t="s">
        <v>44</v>
      </c>
      <c r="J18" s="73" t="s">
        <v>21</v>
      </c>
      <c r="K18" s="73" t="s">
        <v>22</v>
      </c>
      <c r="L18" s="72">
        <v>0.7104166666666667</v>
      </c>
      <c r="M18" s="72">
        <v>0.7236111111111111</v>
      </c>
      <c r="N18" s="75"/>
      <c r="O18" s="75"/>
    </row>
    <row r="19">
      <c r="A19" s="135">
        <v>18.0</v>
      </c>
      <c r="B19" s="136">
        <v>46040.0</v>
      </c>
      <c r="C19" s="39">
        <v>0.8951388888888889</v>
      </c>
      <c r="D19" s="37" t="s">
        <v>37</v>
      </c>
      <c r="E19" s="37" t="s">
        <v>56</v>
      </c>
      <c r="F19" s="40" t="s">
        <v>18</v>
      </c>
      <c r="G19" s="40" t="s">
        <v>406</v>
      </c>
      <c r="H19" s="37" t="s">
        <v>53</v>
      </c>
      <c r="I19" s="37" t="s">
        <v>40</v>
      </c>
      <c r="J19" s="37" t="s">
        <v>21</v>
      </c>
      <c r="K19" s="73" t="s">
        <v>22</v>
      </c>
      <c r="L19" s="39">
        <v>0.8958333333333334</v>
      </c>
      <c r="M19" s="39">
        <v>0.9055555555555556</v>
      </c>
      <c r="N19" s="40"/>
      <c r="O19" s="140"/>
    </row>
    <row r="20">
      <c r="A20" s="135">
        <v>19.0</v>
      </c>
      <c r="B20" s="136">
        <v>46040.0</v>
      </c>
      <c r="C20" s="39">
        <v>0.5277777777777778</v>
      </c>
      <c r="D20" s="37" t="s">
        <v>33</v>
      </c>
      <c r="E20" s="40" t="s">
        <v>57</v>
      </c>
      <c r="F20" s="40" t="s">
        <v>18</v>
      </c>
      <c r="G20" s="40" t="s">
        <v>392</v>
      </c>
      <c r="H20" s="37" t="s">
        <v>58</v>
      </c>
      <c r="I20" s="37" t="s">
        <v>44</v>
      </c>
      <c r="J20" s="37" t="s">
        <v>21</v>
      </c>
      <c r="K20" s="73" t="s">
        <v>22</v>
      </c>
      <c r="L20" s="39">
        <v>0.5284722222222222</v>
      </c>
      <c r="M20" s="36"/>
      <c r="N20" s="36"/>
      <c r="O20" s="137"/>
    </row>
    <row r="21">
      <c r="A21" s="135">
        <v>20.0</v>
      </c>
      <c r="B21" s="138">
        <v>46040.0</v>
      </c>
      <c r="C21" s="72">
        <v>0.91875</v>
      </c>
      <c r="D21" s="73" t="s">
        <v>407</v>
      </c>
      <c r="E21" s="74" t="s">
        <v>298</v>
      </c>
      <c r="F21" s="74" t="s">
        <v>18</v>
      </c>
      <c r="G21" s="74" t="s">
        <v>408</v>
      </c>
      <c r="H21" s="73" t="s">
        <v>299</v>
      </c>
      <c r="I21" s="73" t="s">
        <v>44</v>
      </c>
      <c r="J21" s="73" t="s">
        <v>21</v>
      </c>
      <c r="K21" s="80" t="s">
        <v>22</v>
      </c>
      <c r="L21" s="72">
        <v>0.9354166666666667</v>
      </c>
      <c r="M21" s="72">
        <v>0.9375</v>
      </c>
      <c r="N21" s="75"/>
      <c r="O21" s="75"/>
    </row>
    <row r="22">
      <c r="A22" s="135">
        <v>21.0</v>
      </c>
      <c r="B22" s="138">
        <v>46042.0</v>
      </c>
      <c r="C22" s="72">
        <v>0.75625</v>
      </c>
      <c r="D22" s="73" t="s">
        <v>200</v>
      </c>
      <c r="E22" s="130" t="s">
        <v>201</v>
      </c>
      <c r="F22" s="74" t="s">
        <v>18</v>
      </c>
      <c r="G22" s="73"/>
      <c r="H22" s="73" t="s">
        <v>202</v>
      </c>
      <c r="I22" s="73" t="s">
        <v>62</v>
      </c>
      <c r="J22" s="73" t="s">
        <v>21</v>
      </c>
      <c r="K22" s="73" t="s">
        <v>22</v>
      </c>
      <c r="L22" s="72">
        <v>0.75625</v>
      </c>
      <c r="M22" s="72">
        <v>0.8979166666666667</v>
      </c>
      <c r="N22" s="75"/>
      <c r="O22" s="75"/>
    </row>
    <row r="23">
      <c r="A23" s="135">
        <v>22.0</v>
      </c>
      <c r="B23" s="138">
        <v>46042.0</v>
      </c>
      <c r="C23" s="72">
        <v>0.6388888888888888</v>
      </c>
      <c r="D23" s="73" t="s">
        <v>297</v>
      </c>
      <c r="E23" s="74" t="s">
        <v>303</v>
      </c>
      <c r="F23" s="74" t="s">
        <v>18</v>
      </c>
      <c r="G23" s="74" t="s">
        <v>409</v>
      </c>
      <c r="H23" s="74" t="s">
        <v>304</v>
      </c>
      <c r="I23" s="73" t="s">
        <v>20</v>
      </c>
      <c r="J23" s="73" t="s">
        <v>21</v>
      </c>
      <c r="K23" s="73" t="s">
        <v>22</v>
      </c>
      <c r="L23" s="72">
        <v>0.6388888888888888</v>
      </c>
      <c r="M23" s="72">
        <v>0.6597222222222222</v>
      </c>
      <c r="N23" s="75"/>
      <c r="O23" s="75"/>
    </row>
    <row r="24">
      <c r="A24" s="135">
        <v>23.0</v>
      </c>
      <c r="B24" s="138">
        <v>46043.0</v>
      </c>
      <c r="C24" s="72">
        <v>0.46319444444444446</v>
      </c>
      <c r="D24" s="73" t="s">
        <v>399</v>
      </c>
      <c r="E24" s="74" t="s">
        <v>204</v>
      </c>
      <c r="F24" s="74" t="s">
        <v>18</v>
      </c>
      <c r="G24" s="73"/>
      <c r="H24" s="73" t="s">
        <v>202</v>
      </c>
      <c r="I24" s="73" t="s">
        <v>62</v>
      </c>
      <c r="J24" s="73" t="s">
        <v>21</v>
      </c>
      <c r="K24" s="73" t="s">
        <v>22</v>
      </c>
      <c r="L24" s="72">
        <v>0.47708333333333336</v>
      </c>
      <c r="M24" s="72">
        <v>0.8805555555555555</v>
      </c>
      <c r="N24" s="75"/>
      <c r="O24" s="75"/>
    </row>
    <row r="25">
      <c r="A25" s="135">
        <v>24.0</v>
      </c>
      <c r="B25" s="138">
        <v>46043.0</v>
      </c>
      <c r="C25" s="72">
        <v>0.8756944444444444</v>
      </c>
      <c r="D25" s="73" t="s">
        <v>160</v>
      </c>
      <c r="E25" s="74" t="s">
        <v>206</v>
      </c>
      <c r="F25" s="74" t="s">
        <v>18</v>
      </c>
      <c r="G25" s="73"/>
      <c r="H25" s="73" t="s">
        <v>207</v>
      </c>
      <c r="I25" s="73" t="s">
        <v>62</v>
      </c>
      <c r="J25" s="73" t="s">
        <v>21</v>
      </c>
      <c r="K25" s="80" t="s">
        <v>22</v>
      </c>
      <c r="L25" s="72">
        <v>0.8756944444444444</v>
      </c>
      <c r="M25" s="72">
        <v>0.8805555555555555</v>
      </c>
      <c r="N25" s="75"/>
      <c r="O25" s="75"/>
    </row>
    <row r="26">
      <c r="A26" s="135">
        <v>25.0</v>
      </c>
      <c r="B26" s="138">
        <v>46043.0</v>
      </c>
      <c r="C26" s="72">
        <v>0.8229166666666666</v>
      </c>
      <c r="D26" s="73" t="s">
        <v>196</v>
      </c>
      <c r="E26" s="74" t="s">
        <v>208</v>
      </c>
      <c r="F26" s="74" t="s">
        <v>18</v>
      </c>
      <c r="G26" s="74" t="s">
        <v>408</v>
      </c>
      <c r="H26" s="73" t="s">
        <v>209</v>
      </c>
      <c r="I26" s="73" t="s">
        <v>44</v>
      </c>
      <c r="J26" s="73" t="s">
        <v>21</v>
      </c>
      <c r="K26" s="80" t="s">
        <v>22</v>
      </c>
      <c r="L26" s="72">
        <v>0.8236111111111111</v>
      </c>
      <c r="M26" s="72">
        <v>0.8618055555555556</v>
      </c>
      <c r="N26" s="75"/>
      <c r="O26" s="75"/>
    </row>
    <row r="27">
      <c r="A27" s="135">
        <v>26.0</v>
      </c>
      <c r="B27" s="136">
        <v>46045.0</v>
      </c>
      <c r="C27" s="39">
        <v>0.43680555555555556</v>
      </c>
      <c r="D27" s="37" t="s">
        <v>37</v>
      </c>
      <c r="E27" s="141" t="s">
        <v>70</v>
      </c>
      <c r="F27" s="40" t="s">
        <v>18</v>
      </c>
      <c r="G27" s="40" t="s">
        <v>410</v>
      </c>
      <c r="H27" s="37" t="s">
        <v>411</v>
      </c>
      <c r="I27" s="73" t="s">
        <v>307</v>
      </c>
      <c r="J27" s="37" t="s">
        <v>21</v>
      </c>
      <c r="K27" s="80" t="s">
        <v>22</v>
      </c>
      <c r="L27" s="39">
        <v>0.4395833333333333</v>
      </c>
      <c r="M27" s="39">
        <v>0.4444444444444444</v>
      </c>
      <c r="N27" s="36"/>
      <c r="O27" s="137"/>
    </row>
    <row r="28">
      <c r="A28" s="135">
        <v>27.0</v>
      </c>
      <c r="B28" s="138">
        <v>46045.0</v>
      </c>
      <c r="C28" s="72">
        <v>0.5381944444444444</v>
      </c>
      <c r="D28" s="73" t="s">
        <v>160</v>
      </c>
      <c r="E28" s="74" t="s">
        <v>213</v>
      </c>
      <c r="F28" s="74" t="s">
        <v>18</v>
      </c>
      <c r="G28" s="74" t="s">
        <v>412</v>
      </c>
      <c r="H28" s="74" t="s">
        <v>214</v>
      </c>
      <c r="I28" s="73" t="s">
        <v>40</v>
      </c>
      <c r="J28" s="73" t="s">
        <v>21</v>
      </c>
      <c r="K28" s="73" t="s">
        <v>22</v>
      </c>
      <c r="L28" s="72">
        <v>0.5388888888888889</v>
      </c>
      <c r="M28" s="75"/>
      <c r="N28" s="75"/>
      <c r="O28" s="75"/>
    </row>
    <row r="29">
      <c r="A29" s="135">
        <v>28.0</v>
      </c>
      <c r="B29" s="138">
        <v>46045.0</v>
      </c>
      <c r="C29" s="72">
        <v>0.8125</v>
      </c>
      <c r="D29" s="73" t="s">
        <v>160</v>
      </c>
      <c r="E29" s="74" t="s">
        <v>215</v>
      </c>
      <c r="F29" s="74" t="s">
        <v>18</v>
      </c>
      <c r="G29" s="73"/>
      <c r="H29" s="73" t="s">
        <v>216</v>
      </c>
      <c r="I29" s="73" t="s">
        <v>62</v>
      </c>
      <c r="J29" s="73" t="s">
        <v>21</v>
      </c>
      <c r="K29" s="80" t="s">
        <v>22</v>
      </c>
      <c r="L29" s="72">
        <v>0.8125</v>
      </c>
      <c r="M29" s="75"/>
      <c r="N29" s="75"/>
      <c r="O29" s="75"/>
    </row>
    <row r="30">
      <c r="A30" s="135">
        <v>29.0</v>
      </c>
      <c r="B30" s="138">
        <v>46046.0</v>
      </c>
      <c r="C30" s="72">
        <v>0.9180555555555555</v>
      </c>
      <c r="D30" s="73" t="s">
        <v>165</v>
      </c>
      <c r="E30" s="74" t="s">
        <v>218</v>
      </c>
      <c r="F30" s="74" t="s">
        <v>18</v>
      </c>
      <c r="G30" s="74" t="s">
        <v>408</v>
      </c>
      <c r="H30" s="73" t="s">
        <v>219</v>
      </c>
      <c r="I30" s="73" t="s">
        <v>44</v>
      </c>
      <c r="J30" s="73" t="s">
        <v>21</v>
      </c>
      <c r="K30" s="80" t="s">
        <v>22</v>
      </c>
      <c r="L30" s="72">
        <v>0.9194444444444444</v>
      </c>
      <c r="M30" s="72">
        <v>0.9277777777777778</v>
      </c>
      <c r="N30" s="75"/>
      <c r="O30" s="75"/>
    </row>
    <row r="31">
      <c r="A31" s="135">
        <v>30.0</v>
      </c>
      <c r="B31" s="138">
        <v>46050.0</v>
      </c>
      <c r="C31" s="72">
        <v>0.43680555555555556</v>
      </c>
      <c r="D31" s="73" t="s">
        <v>196</v>
      </c>
      <c r="E31" s="130" t="s">
        <v>197</v>
      </c>
      <c r="F31" s="74" t="s">
        <v>18</v>
      </c>
      <c r="G31" s="73"/>
      <c r="H31" s="73" t="s">
        <v>231</v>
      </c>
      <c r="I31" s="73" t="s">
        <v>232</v>
      </c>
      <c r="J31" s="73" t="s">
        <v>21</v>
      </c>
      <c r="K31" s="80" t="s">
        <v>22</v>
      </c>
      <c r="L31" s="72">
        <v>0.43680555555555556</v>
      </c>
      <c r="M31" s="72">
        <v>0.4395833333333333</v>
      </c>
      <c r="N31" s="75"/>
      <c r="O31" s="75"/>
    </row>
    <row r="32">
      <c r="A32" s="135">
        <v>31.0</v>
      </c>
      <c r="B32" s="136">
        <v>46023.0</v>
      </c>
      <c r="C32" s="39">
        <v>0.5520833333333334</v>
      </c>
      <c r="D32" s="37" t="s">
        <v>23</v>
      </c>
      <c r="E32" s="40" t="s">
        <v>28</v>
      </c>
      <c r="F32" s="40" t="s">
        <v>18</v>
      </c>
      <c r="G32" s="142" t="s">
        <v>413</v>
      </c>
      <c r="H32" s="142" t="s">
        <v>29</v>
      </c>
      <c r="I32" s="37" t="s">
        <v>26</v>
      </c>
      <c r="J32" s="37" t="s">
        <v>241</v>
      </c>
      <c r="K32" s="37" t="s">
        <v>356</v>
      </c>
      <c r="L32" s="36"/>
      <c r="M32" s="36"/>
      <c r="N32" s="40" t="s">
        <v>31</v>
      </c>
      <c r="O32" s="40" t="s">
        <v>32</v>
      </c>
    </row>
    <row r="33">
      <c r="A33" s="135">
        <v>32.0</v>
      </c>
      <c r="B33" s="138">
        <v>46030.0</v>
      </c>
      <c r="C33" s="72">
        <v>0.6375</v>
      </c>
      <c r="D33" s="73" t="s">
        <v>160</v>
      </c>
      <c r="E33" s="74" t="s">
        <v>163</v>
      </c>
      <c r="F33" s="74" t="s">
        <v>18</v>
      </c>
      <c r="G33" s="74" t="s">
        <v>414</v>
      </c>
      <c r="H33" s="74" t="s">
        <v>164</v>
      </c>
      <c r="I33" s="73" t="s">
        <v>40</v>
      </c>
      <c r="J33" s="73" t="s">
        <v>21</v>
      </c>
      <c r="K33" s="73" t="s">
        <v>356</v>
      </c>
      <c r="L33" s="72">
        <v>0.6375</v>
      </c>
      <c r="M33" s="72">
        <v>0.6430555555555556</v>
      </c>
      <c r="N33" s="75"/>
      <c r="O33" s="75"/>
    </row>
    <row r="34">
      <c r="A34" s="135">
        <v>33.0</v>
      </c>
      <c r="B34" s="138">
        <v>46030.0</v>
      </c>
      <c r="C34" s="72">
        <v>0.8506944444444444</v>
      </c>
      <c r="D34" s="73" t="s">
        <v>165</v>
      </c>
      <c r="E34" s="74" t="s">
        <v>166</v>
      </c>
      <c r="F34" s="74" t="s">
        <v>18</v>
      </c>
      <c r="G34" s="74" t="s">
        <v>415</v>
      </c>
      <c r="H34" s="74" t="s">
        <v>416</v>
      </c>
      <c r="I34" s="73" t="s">
        <v>398</v>
      </c>
      <c r="J34" s="73" t="s">
        <v>21</v>
      </c>
      <c r="K34" s="37" t="s">
        <v>356</v>
      </c>
      <c r="L34" s="72">
        <v>0.8513888888888889</v>
      </c>
      <c r="M34" s="75"/>
      <c r="N34" s="75"/>
      <c r="O34" s="75"/>
    </row>
    <row r="35">
      <c r="A35" s="135">
        <v>34.0</v>
      </c>
      <c r="B35" s="136">
        <v>46034.0</v>
      </c>
      <c r="C35" s="39">
        <v>0.5263888888888889</v>
      </c>
      <c r="D35" s="37" t="s">
        <v>45</v>
      </c>
      <c r="E35" s="37" t="s">
        <v>417</v>
      </c>
      <c r="F35" s="40" t="s">
        <v>18</v>
      </c>
      <c r="G35" s="37"/>
      <c r="H35" s="37" t="s">
        <v>47</v>
      </c>
      <c r="I35" s="37" t="s">
        <v>26</v>
      </c>
      <c r="J35" s="37" t="s">
        <v>21</v>
      </c>
      <c r="K35" s="37" t="s">
        <v>356</v>
      </c>
      <c r="L35" s="39">
        <v>0.5277777777777778</v>
      </c>
      <c r="M35" s="39">
        <v>0.5520833333333334</v>
      </c>
      <c r="N35" s="36"/>
      <c r="O35" s="137"/>
    </row>
    <row r="36">
      <c r="A36" s="135">
        <v>35.0</v>
      </c>
      <c r="B36" s="138">
        <v>46035.0</v>
      </c>
      <c r="C36" s="72">
        <v>0.4951388888888889</v>
      </c>
      <c r="D36" s="73" t="s">
        <v>149</v>
      </c>
      <c r="E36" s="74" t="s">
        <v>172</v>
      </c>
      <c r="F36" s="74" t="s">
        <v>18</v>
      </c>
      <c r="G36" s="143" t="s">
        <v>418</v>
      </c>
      <c r="H36" s="143" t="s">
        <v>173</v>
      </c>
      <c r="I36" s="73" t="s">
        <v>40</v>
      </c>
      <c r="J36" s="73" t="s">
        <v>21</v>
      </c>
      <c r="K36" s="37" t="s">
        <v>356</v>
      </c>
      <c r="L36" s="72">
        <v>0.4965277777777778</v>
      </c>
      <c r="M36" s="72">
        <v>0.5020833333333333</v>
      </c>
      <c r="N36" s="75"/>
      <c r="O36" s="75"/>
    </row>
    <row r="37">
      <c r="A37" s="135">
        <v>36.0</v>
      </c>
      <c r="B37" s="138">
        <v>46035.0</v>
      </c>
      <c r="C37" s="75"/>
      <c r="D37" s="73" t="s">
        <v>149</v>
      </c>
      <c r="E37" s="74" t="s">
        <v>172</v>
      </c>
      <c r="F37" s="74" t="s">
        <v>18</v>
      </c>
      <c r="G37" s="74" t="s">
        <v>419</v>
      </c>
      <c r="H37" s="74" t="s">
        <v>175</v>
      </c>
      <c r="I37" s="73" t="s">
        <v>40</v>
      </c>
      <c r="J37" s="73" t="s">
        <v>21</v>
      </c>
      <c r="K37" s="37" t="s">
        <v>356</v>
      </c>
      <c r="L37" s="72">
        <v>0.4951388888888889</v>
      </c>
      <c r="M37" s="72">
        <v>0.5020833333333333</v>
      </c>
      <c r="N37" s="75"/>
      <c r="O37" s="75"/>
    </row>
    <row r="38">
      <c r="A38" s="135">
        <v>37.0</v>
      </c>
      <c r="B38" s="138">
        <v>46036.0</v>
      </c>
      <c r="C38" s="72">
        <v>0.6347222222222222</v>
      </c>
      <c r="D38" s="73" t="s">
        <v>177</v>
      </c>
      <c r="E38" s="73" t="s">
        <v>178</v>
      </c>
      <c r="F38" s="74" t="s">
        <v>18</v>
      </c>
      <c r="G38" s="74" t="s">
        <v>420</v>
      </c>
      <c r="H38" s="74" t="s">
        <v>179</v>
      </c>
      <c r="I38" s="73" t="s">
        <v>40</v>
      </c>
      <c r="J38" s="73" t="s">
        <v>21</v>
      </c>
      <c r="K38" s="37" t="s">
        <v>356</v>
      </c>
      <c r="L38" s="72">
        <v>0.6375</v>
      </c>
      <c r="M38" s="72">
        <v>0.65</v>
      </c>
      <c r="N38" s="75"/>
      <c r="O38" s="75"/>
    </row>
    <row r="39">
      <c r="A39" s="135">
        <v>38.0</v>
      </c>
      <c r="B39" s="136">
        <v>46037.0</v>
      </c>
      <c r="C39" s="39">
        <v>0.7493055555555556</v>
      </c>
      <c r="D39" s="37" t="s">
        <v>152</v>
      </c>
      <c r="E39" s="37" t="s">
        <v>181</v>
      </c>
      <c r="F39" s="40" t="s">
        <v>18</v>
      </c>
      <c r="G39" s="40" t="s">
        <v>421</v>
      </c>
      <c r="H39" s="40" t="s">
        <v>422</v>
      </c>
      <c r="I39" s="73" t="s">
        <v>40</v>
      </c>
      <c r="J39" s="73" t="s">
        <v>21</v>
      </c>
      <c r="K39" s="37" t="s">
        <v>356</v>
      </c>
      <c r="L39" s="72">
        <v>0.7645833333333333</v>
      </c>
      <c r="M39" s="72">
        <v>0.9423611111111111</v>
      </c>
      <c r="N39" s="75"/>
      <c r="O39" s="75"/>
    </row>
    <row r="40">
      <c r="A40" s="135">
        <v>39.0</v>
      </c>
      <c r="B40" s="136">
        <v>46037.0</v>
      </c>
      <c r="C40" s="39">
        <v>0.7868055555555555</v>
      </c>
      <c r="D40" s="37" t="s">
        <v>165</v>
      </c>
      <c r="E40" s="37" t="s">
        <v>183</v>
      </c>
      <c r="F40" s="40" t="s">
        <v>18</v>
      </c>
      <c r="G40" s="40" t="s">
        <v>423</v>
      </c>
      <c r="H40" s="37" t="s">
        <v>424</v>
      </c>
      <c r="I40" s="73" t="s">
        <v>26</v>
      </c>
      <c r="J40" s="73" t="s">
        <v>21</v>
      </c>
      <c r="K40" s="37" t="s">
        <v>356</v>
      </c>
      <c r="L40" s="72">
        <v>0.7888888888888889</v>
      </c>
      <c r="M40" s="72">
        <v>0.7986111111111112</v>
      </c>
      <c r="N40" s="75"/>
      <c r="O40" s="75"/>
    </row>
    <row r="41">
      <c r="A41" s="135">
        <v>40.0</v>
      </c>
      <c r="B41" s="138">
        <v>46037.0</v>
      </c>
      <c r="C41" s="72">
        <v>0.8104166666666667</v>
      </c>
      <c r="D41" s="73" t="s">
        <v>177</v>
      </c>
      <c r="E41" s="73" t="s">
        <v>185</v>
      </c>
      <c r="F41" s="74" t="s">
        <v>18</v>
      </c>
      <c r="G41" s="74" t="s">
        <v>425</v>
      </c>
      <c r="H41" s="73" t="s">
        <v>426</v>
      </c>
      <c r="I41" s="73" t="s">
        <v>26</v>
      </c>
      <c r="J41" s="73" t="s">
        <v>21</v>
      </c>
      <c r="K41" s="37" t="s">
        <v>356</v>
      </c>
      <c r="L41" s="72">
        <v>0.8111111111111111</v>
      </c>
      <c r="M41" s="72">
        <v>0.8256944444444444</v>
      </c>
      <c r="N41" s="75"/>
      <c r="O41" s="75"/>
    </row>
    <row r="42">
      <c r="A42" s="135">
        <v>41.0</v>
      </c>
      <c r="B42" s="138">
        <v>46047.0</v>
      </c>
      <c r="C42" s="72">
        <v>0.63125</v>
      </c>
      <c r="D42" s="73" t="s">
        <v>149</v>
      </c>
      <c r="E42" s="74" t="s">
        <v>427</v>
      </c>
      <c r="F42" s="74" t="s">
        <v>18</v>
      </c>
      <c r="G42" s="73"/>
      <c r="H42" s="73" t="s">
        <v>222</v>
      </c>
      <c r="I42" s="73" t="s">
        <v>40</v>
      </c>
      <c r="J42" s="73" t="s">
        <v>21</v>
      </c>
      <c r="K42" s="37" t="s">
        <v>356</v>
      </c>
      <c r="L42" s="72">
        <v>0.6395833333333333</v>
      </c>
      <c r="M42" s="72">
        <v>0.6479166666666667</v>
      </c>
      <c r="N42" s="75"/>
      <c r="O42" s="75"/>
    </row>
    <row r="43">
      <c r="A43" s="135">
        <v>42.0</v>
      </c>
      <c r="B43" s="136">
        <v>46037.0</v>
      </c>
      <c r="C43" s="39">
        <v>0.8847222222222222</v>
      </c>
      <c r="D43" s="37" t="s">
        <v>37</v>
      </c>
      <c r="E43" s="40" t="s">
        <v>52</v>
      </c>
      <c r="F43" s="40" t="s">
        <v>18</v>
      </c>
      <c r="G43" s="40" t="s">
        <v>428</v>
      </c>
      <c r="H43" s="37" t="s">
        <v>53</v>
      </c>
      <c r="I43" s="37" t="s">
        <v>40</v>
      </c>
      <c r="J43" s="37" t="s">
        <v>21</v>
      </c>
      <c r="K43" s="37" t="s">
        <v>54</v>
      </c>
      <c r="L43" s="39">
        <v>0.8951388888888889</v>
      </c>
      <c r="M43" s="39">
        <v>0.8993055555555556</v>
      </c>
      <c r="N43" s="36"/>
      <c r="O43" s="137"/>
    </row>
    <row r="44">
      <c r="A44" s="135">
        <v>43.0</v>
      </c>
      <c r="B44" s="138">
        <v>46039.0</v>
      </c>
      <c r="C44" s="72">
        <v>0.8208333333333333</v>
      </c>
      <c r="D44" s="73" t="s">
        <v>177</v>
      </c>
      <c r="E44" s="74" t="s">
        <v>192</v>
      </c>
      <c r="F44" s="74" t="s">
        <v>18</v>
      </c>
      <c r="G44" s="74" t="s">
        <v>429</v>
      </c>
      <c r="H44" s="74" t="s">
        <v>193</v>
      </c>
      <c r="I44" s="73" t="s">
        <v>72</v>
      </c>
      <c r="J44" s="73" t="s">
        <v>21</v>
      </c>
      <c r="K44" s="73" t="s">
        <v>54</v>
      </c>
      <c r="L44" s="72">
        <v>0.8229166666666666</v>
      </c>
      <c r="M44" s="75"/>
      <c r="N44" s="75"/>
      <c r="O44" s="75"/>
    </row>
    <row r="45">
      <c r="A45" s="135">
        <v>44.0</v>
      </c>
      <c r="B45" s="138">
        <v>46039.0</v>
      </c>
      <c r="C45" s="72">
        <v>0.5847222222222223</v>
      </c>
      <c r="D45" s="73" t="s">
        <v>165</v>
      </c>
      <c r="E45" s="74" t="s">
        <v>194</v>
      </c>
      <c r="F45" s="74" t="s">
        <v>18</v>
      </c>
      <c r="G45" s="74" t="s">
        <v>430</v>
      </c>
      <c r="H45" s="73" t="s">
        <v>195</v>
      </c>
      <c r="I45" s="73" t="s">
        <v>40</v>
      </c>
      <c r="J45" s="73" t="s">
        <v>21</v>
      </c>
      <c r="K45" s="73" t="s">
        <v>54</v>
      </c>
      <c r="L45" s="72">
        <v>0.5861111111111111</v>
      </c>
      <c r="M45" s="75"/>
      <c r="N45" s="75"/>
      <c r="O45" s="75"/>
    </row>
    <row r="46">
      <c r="A46" s="135">
        <v>45.0</v>
      </c>
      <c r="B46" s="138">
        <v>46044.0</v>
      </c>
      <c r="C46" s="72">
        <v>0.9743055555555555</v>
      </c>
      <c r="D46" s="73" t="s">
        <v>287</v>
      </c>
      <c r="E46" s="141" t="s">
        <v>70</v>
      </c>
      <c r="F46" s="74" t="s">
        <v>18</v>
      </c>
      <c r="G46" s="74" t="s">
        <v>431</v>
      </c>
      <c r="H46" s="73" t="s">
        <v>306</v>
      </c>
      <c r="I46" s="73" t="s">
        <v>307</v>
      </c>
      <c r="J46" s="73" t="s">
        <v>21</v>
      </c>
      <c r="K46" s="73" t="s">
        <v>54</v>
      </c>
      <c r="L46" s="72">
        <v>0.9763888888888889</v>
      </c>
      <c r="M46" s="72">
        <v>0.9763888888888889</v>
      </c>
      <c r="N46" s="75"/>
      <c r="O46" s="75"/>
    </row>
    <row r="47">
      <c r="A47" s="135">
        <v>46.0</v>
      </c>
      <c r="B47" s="138">
        <v>46044.0</v>
      </c>
      <c r="C47" s="72">
        <v>0.9743055555555555</v>
      </c>
      <c r="D47" s="73" t="s">
        <v>308</v>
      </c>
      <c r="E47" s="141" t="s">
        <v>70</v>
      </c>
      <c r="F47" s="74" t="s">
        <v>18</v>
      </c>
      <c r="G47" s="74" t="s">
        <v>431</v>
      </c>
      <c r="H47" s="73" t="s">
        <v>306</v>
      </c>
      <c r="I47" s="73" t="s">
        <v>307</v>
      </c>
      <c r="J47" s="73" t="s">
        <v>21</v>
      </c>
      <c r="K47" s="73" t="s">
        <v>54</v>
      </c>
      <c r="L47" s="72">
        <v>0.9763888888888889</v>
      </c>
      <c r="M47" s="72">
        <v>0.9833333333333333</v>
      </c>
      <c r="N47" s="75"/>
      <c r="O47" s="75"/>
    </row>
    <row r="48">
      <c r="A48" s="135">
        <v>47.0</v>
      </c>
      <c r="B48" s="138">
        <v>46044.0</v>
      </c>
      <c r="C48" s="72">
        <v>0.9743055555555555</v>
      </c>
      <c r="D48" s="73" t="s">
        <v>297</v>
      </c>
      <c r="E48" s="141" t="s">
        <v>70</v>
      </c>
      <c r="F48" s="74" t="s">
        <v>18</v>
      </c>
      <c r="G48" s="74" t="s">
        <v>431</v>
      </c>
      <c r="H48" s="73" t="s">
        <v>306</v>
      </c>
      <c r="I48" s="73" t="s">
        <v>307</v>
      </c>
      <c r="J48" s="73" t="s">
        <v>21</v>
      </c>
      <c r="K48" s="73" t="s">
        <v>54</v>
      </c>
      <c r="L48" s="72">
        <v>0.9763888888888889</v>
      </c>
      <c r="M48" s="72">
        <v>0.9833333333333333</v>
      </c>
      <c r="N48" s="75"/>
      <c r="O48" s="75"/>
    </row>
    <row r="49">
      <c r="A49" s="135">
        <v>48.0</v>
      </c>
      <c r="B49" s="138">
        <v>46048.0</v>
      </c>
      <c r="C49" s="72">
        <v>0.5916666666666667</v>
      </c>
      <c r="D49" s="73" t="s">
        <v>165</v>
      </c>
      <c r="E49" s="73" t="s">
        <v>224</v>
      </c>
      <c r="F49" s="74" t="s">
        <v>18</v>
      </c>
      <c r="G49" s="74" t="s">
        <v>431</v>
      </c>
      <c r="H49" s="73" t="s">
        <v>225</v>
      </c>
      <c r="I49" s="73" t="s">
        <v>72</v>
      </c>
      <c r="J49" s="73" t="s">
        <v>21</v>
      </c>
      <c r="K49" s="73" t="s">
        <v>54</v>
      </c>
      <c r="L49" s="72">
        <v>0.5930555555555556</v>
      </c>
      <c r="M49" s="72">
        <v>0.5972222222222222</v>
      </c>
      <c r="N49" s="75"/>
      <c r="O49" s="75"/>
    </row>
    <row r="50">
      <c r="A50" s="135">
        <v>49.0</v>
      </c>
      <c r="B50" s="138">
        <v>46050.0</v>
      </c>
      <c r="C50" s="72">
        <v>0.4083333333333333</v>
      </c>
      <c r="D50" s="73" t="s">
        <v>432</v>
      </c>
      <c r="E50" s="73" t="s">
        <v>227</v>
      </c>
      <c r="F50" s="74" t="s">
        <v>18</v>
      </c>
      <c r="G50" s="45" t="s">
        <v>433</v>
      </c>
      <c r="H50" s="74" t="s">
        <v>434</v>
      </c>
      <c r="I50" s="73" t="s">
        <v>26</v>
      </c>
      <c r="J50" s="73" t="s">
        <v>21</v>
      </c>
      <c r="K50" s="73" t="s">
        <v>81</v>
      </c>
      <c r="L50" s="72">
        <v>0.4083333333333333</v>
      </c>
      <c r="M50" s="72">
        <v>0.41041666666666665</v>
      </c>
      <c r="N50" s="75"/>
      <c r="O50" s="75"/>
    </row>
    <row r="51">
      <c r="A51" s="135">
        <v>50.0</v>
      </c>
      <c r="B51" s="138">
        <v>46050.0</v>
      </c>
      <c r="C51" s="72">
        <v>0.33402777777777776</v>
      </c>
      <c r="D51" s="73" t="s">
        <v>297</v>
      </c>
      <c r="E51" s="73" t="s">
        <v>309</v>
      </c>
      <c r="F51" s="74" t="s">
        <v>18</v>
      </c>
      <c r="G51" s="74" t="s">
        <v>433</v>
      </c>
      <c r="H51" s="144" t="s">
        <v>434</v>
      </c>
      <c r="I51" s="73" t="s">
        <v>26</v>
      </c>
      <c r="J51" s="73" t="s">
        <v>21</v>
      </c>
      <c r="K51" s="73" t="s">
        <v>81</v>
      </c>
      <c r="L51" s="72">
        <v>0.33958333333333335</v>
      </c>
      <c r="M51" s="72">
        <v>0.4236111111111111</v>
      </c>
      <c r="N51" s="75"/>
      <c r="O51" s="75"/>
    </row>
    <row r="52">
      <c r="A52" s="135">
        <v>51.0</v>
      </c>
      <c r="B52" s="138">
        <v>46044.0</v>
      </c>
      <c r="C52" s="72">
        <v>0.9805555555555555</v>
      </c>
      <c r="D52" s="73" t="s">
        <v>196</v>
      </c>
      <c r="E52" s="74" t="s">
        <v>210</v>
      </c>
      <c r="F52" s="74" t="s">
        <v>18</v>
      </c>
      <c r="G52" s="74" t="s">
        <v>435</v>
      </c>
      <c r="H52" s="73" t="s">
        <v>211</v>
      </c>
      <c r="I52" s="73" t="s">
        <v>168</v>
      </c>
      <c r="J52" s="73" t="s">
        <v>21</v>
      </c>
      <c r="K52" s="73" t="s">
        <v>76</v>
      </c>
      <c r="L52" s="72">
        <v>0.9763888888888889</v>
      </c>
      <c r="M52" s="75"/>
      <c r="N52" s="75"/>
      <c r="O52" s="75"/>
    </row>
    <row r="53">
      <c r="A53" s="135">
        <v>52.0</v>
      </c>
      <c r="B53" s="136">
        <v>46052.0</v>
      </c>
      <c r="C53" s="39">
        <v>0.3680555555555556</v>
      </c>
      <c r="D53" s="37" t="s">
        <v>16</v>
      </c>
      <c r="E53" s="37" t="s">
        <v>74</v>
      </c>
      <c r="F53" s="40" t="s">
        <v>18</v>
      </c>
      <c r="G53" s="40" t="s">
        <v>436</v>
      </c>
      <c r="H53" s="37" t="s">
        <v>75</v>
      </c>
      <c r="I53" s="73" t="s">
        <v>44</v>
      </c>
      <c r="J53" s="37" t="s">
        <v>21</v>
      </c>
      <c r="K53" s="73" t="s">
        <v>76</v>
      </c>
      <c r="L53" s="39">
        <v>0.3680555555555556</v>
      </c>
      <c r="M53" s="39">
        <v>0.40208333333333335</v>
      </c>
      <c r="N53" s="36"/>
      <c r="O53" s="137"/>
    </row>
    <row r="54">
      <c r="A54" s="135">
        <v>53.0</v>
      </c>
      <c r="B54" s="138">
        <v>46028.0</v>
      </c>
      <c r="C54" s="72">
        <v>0.7736111111111111</v>
      </c>
      <c r="D54" s="73" t="s">
        <v>287</v>
      </c>
      <c r="E54" s="73" t="s">
        <v>292</v>
      </c>
      <c r="F54" s="74" t="s">
        <v>18</v>
      </c>
      <c r="G54" s="74" t="s">
        <v>437</v>
      </c>
      <c r="H54" s="73" t="s">
        <v>293</v>
      </c>
      <c r="I54" s="73" t="s">
        <v>20</v>
      </c>
      <c r="J54" s="73" t="s">
        <v>21</v>
      </c>
      <c r="K54" s="80" t="s">
        <v>124</v>
      </c>
      <c r="L54" s="72">
        <v>0.7743055555555556</v>
      </c>
      <c r="M54" s="72">
        <v>0.7861111111111111</v>
      </c>
      <c r="N54" s="75"/>
      <c r="O54" s="75"/>
    </row>
    <row r="55">
      <c r="A55" s="135">
        <v>54.0</v>
      </c>
      <c r="B55" s="138">
        <v>46030.0</v>
      </c>
      <c r="C55" s="72">
        <v>0.42083333333333334</v>
      </c>
      <c r="D55" s="73" t="s">
        <v>160</v>
      </c>
      <c r="E55" s="73" t="s">
        <v>161</v>
      </c>
      <c r="F55" s="74" t="s">
        <v>18</v>
      </c>
      <c r="G55" s="45" t="s">
        <v>438</v>
      </c>
      <c r="H55" s="74" t="s">
        <v>162</v>
      </c>
      <c r="I55" s="73" t="s">
        <v>20</v>
      </c>
      <c r="J55" s="73" t="s">
        <v>21</v>
      </c>
      <c r="K55" s="73" t="s">
        <v>124</v>
      </c>
      <c r="L55" s="72">
        <v>0.4236111111111111</v>
      </c>
      <c r="M55" s="72">
        <v>0.425</v>
      </c>
      <c r="N55" s="75"/>
      <c r="O55" s="75"/>
    </row>
    <row r="56">
      <c r="A56" s="135">
        <v>55.0</v>
      </c>
      <c r="B56" s="138">
        <v>46030.0</v>
      </c>
      <c r="C56" s="72">
        <v>0.41458333333333336</v>
      </c>
      <c r="D56" s="73" t="s">
        <v>287</v>
      </c>
      <c r="E56" s="73" t="s">
        <v>294</v>
      </c>
      <c r="F56" s="74" t="s">
        <v>18</v>
      </c>
      <c r="G56" s="74" t="s">
        <v>438</v>
      </c>
      <c r="H56" s="74" t="s">
        <v>162</v>
      </c>
      <c r="I56" s="73" t="s">
        <v>20</v>
      </c>
      <c r="J56" s="73" t="s">
        <v>21</v>
      </c>
      <c r="K56" s="73" t="s">
        <v>124</v>
      </c>
      <c r="L56" s="72">
        <v>0.41458333333333336</v>
      </c>
      <c r="M56" s="72">
        <v>0.4375</v>
      </c>
      <c r="N56" s="75"/>
      <c r="O56" s="75"/>
    </row>
    <row r="57">
      <c r="A57" s="135">
        <v>56.0</v>
      </c>
      <c r="B57" s="138">
        <v>46031.0</v>
      </c>
      <c r="C57" s="72">
        <v>0.6125</v>
      </c>
      <c r="D57" s="73" t="s">
        <v>152</v>
      </c>
      <c r="E57" s="74" t="s">
        <v>377</v>
      </c>
      <c r="F57" s="74" t="s">
        <v>18</v>
      </c>
      <c r="G57" s="74" t="s">
        <v>439</v>
      </c>
      <c r="H57" s="74" t="s">
        <v>440</v>
      </c>
      <c r="I57" s="73" t="s">
        <v>441</v>
      </c>
      <c r="J57" s="73" t="s">
        <v>21</v>
      </c>
      <c r="K57" s="73" t="s">
        <v>124</v>
      </c>
      <c r="L57" s="72">
        <v>0.6201388888888889</v>
      </c>
      <c r="M57" s="72">
        <v>0.6368055555555555</v>
      </c>
      <c r="N57" s="75"/>
      <c r="O57" s="75"/>
    </row>
    <row r="58">
      <c r="A58" s="135">
        <v>57.0</v>
      </c>
      <c r="B58" s="138">
        <v>46038.0</v>
      </c>
      <c r="C58" s="72">
        <v>0.6097222222222223</v>
      </c>
      <c r="D58" s="73" t="s">
        <v>165</v>
      </c>
      <c r="E58" s="74" t="s">
        <v>190</v>
      </c>
      <c r="F58" s="74" t="s">
        <v>18</v>
      </c>
      <c r="G58" s="74" t="s">
        <v>442</v>
      </c>
      <c r="H58" s="74" t="s">
        <v>191</v>
      </c>
      <c r="I58" s="73" t="s">
        <v>40</v>
      </c>
      <c r="J58" s="73" t="s">
        <v>21</v>
      </c>
      <c r="K58" s="73" t="s">
        <v>124</v>
      </c>
      <c r="L58" s="72">
        <v>0.6104166666666667</v>
      </c>
      <c r="M58" s="75"/>
      <c r="N58" s="75"/>
      <c r="O58" s="75"/>
    </row>
    <row r="59">
      <c r="A59" s="135">
        <v>58.0</v>
      </c>
      <c r="B59" s="138">
        <v>46038.0</v>
      </c>
      <c r="C59" s="72">
        <v>0.45555555555555555</v>
      </c>
      <c r="D59" s="73" t="s">
        <v>287</v>
      </c>
      <c r="E59" s="74" t="s">
        <v>300</v>
      </c>
      <c r="F59" s="74" t="s">
        <v>18</v>
      </c>
      <c r="G59" s="74" t="s">
        <v>443</v>
      </c>
      <c r="H59" s="73" t="s">
        <v>444</v>
      </c>
      <c r="I59" s="73" t="s">
        <v>62</v>
      </c>
      <c r="J59" s="73" t="s">
        <v>21</v>
      </c>
      <c r="K59" s="73" t="s">
        <v>124</v>
      </c>
      <c r="L59" s="72">
        <v>0.45694444444444443</v>
      </c>
      <c r="M59" s="75"/>
      <c r="N59" s="75"/>
      <c r="O59" s="75"/>
    </row>
    <row r="60">
      <c r="A60" s="135">
        <v>59.0</v>
      </c>
      <c r="B60" s="138">
        <v>46051.0</v>
      </c>
      <c r="C60" s="72">
        <v>0.44027777777777777</v>
      </c>
      <c r="D60" s="73" t="s">
        <v>165</v>
      </c>
      <c r="E60" s="73" t="s">
        <v>234</v>
      </c>
      <c r="F60" s="74" t="s">
        <v>18</v>
      </c>
      <c r="G60" s="75"/>
      <c r="H60" s="75"/>
      <c r="I60" s="145"/>
      <c r="J60" s="73" t="s">
        <v>21</v>
      </c>
      <c r="K60" s="73" t="s">
        <v>124</v>
      </c>
      <c r="L60" s="75"/>
      <c r="M60" s="72">
        <v>0.44166666666666665</v>
      </c>
      <c r="N60" s="75"/>
      <c r="O60" s="75"/>
    </row>
    <row r="61">
      <c r="A61" s="135">
        <v>60.0</v>
      </c>
      <c r="B61" s="138">
        <v>46052.0</v>
      </c>
      <c r="C61" s="72">
        <v>0.36944444444444446</v>
      </c>
      <c r="D61" s="73" t="s">
        <v>445</v>
      </c>
      <c r="E61" s="73" t="s">
        <v>310</v>
      </c>
      <c r="F61" s="75"/>
      <c r="G61" s="40" t="s">
        <v>446</v>
      </c>
      <c r="H61" s="74" t="s">
        <v>447</v>
      </c>
      <c r="I61" s="73" t="s">
        <v>62</v>
      </c>
      <c r="J61" s="73" t="s">
        <v>21</v>
      </c>
      <c r="K61" s="73" t="s">
        <v>124</v>
      </c>
      <c r="L61" s="75"/>
      <c r="M61" s="75"/>
      <c r="N61" s="75"/>
      <c r="O61" s="75"/>
    </row>
    <row r="62">
      <c r="A62" s="80"/>
      <c r="B62" s="146"/>
      <c r="C62" s="146"/>
      <c r="D62" s="146"/>
      <c r="E62" s="146"/>
      <c r="F62" s="147"/>
      <c r="G62" s="148"/>
      <c r="H62" s="148"/>
      <c r="I62" s="146"/>
      <c r="J62" s="146"/>
      <c r="K62" s="146"/>
      <c r="L62" s="147"/>
      <c r="M62" s="147"/>
      <c r="N62" s="147"/>
      <c r="O62" s="147"/>
    </row>
    <row r="64">
      <c r="A64" s="58" t="s">
        <v>448</v>
      </c>
    </row>
    <row r="65">
      <c r="A65" s="58" t="s">
        <v>6</v>
      </c>
      <c r="B65" s="58" t="s">
        <v>22</v>
      </c>
      <c r="C65" s="132">
        <f t="shared" ref="C65:C70" si="1">COUNTIF($K:$K,B65)</f>
        <v>30</v>
      </c>
    </row>
    <row r="66">
      <c r="B66" s="58" t="s">
        <v>76</v>
      </c>
      <c r="C66" s="132">
        <f t="shared" si="1"/>
        <v>2</v>
      </c>
    </row>
    <row r="67">
      <c r="B67" s="58" t="s">
        <v>356</v>
      </c>
      <c r="C67" s="132">
        <f t="shared" si="1"/>
        <v>11</v>
      </c>
    </row>
    <row r="68">
      <c r="B68" s="58" t="s">
        <v>81</v>
      </c>
      <c r="C68" s="132">
        <f t="shared" si="1"/>
        <v>2</v>
      </c>
    </row>
    <row r="69">
      <c r="B69" s="58" t="s">
        <v>124</v>
      </c>
      <c r="C69" s="132">
        <f t="shared" si="1"/>
        <v>8</v>
      </c>
    </row>
    <row r="70">
      <c r="B70" s="58" t="s">
        <v>54</v>
      </c>
      <c r="C70" s="132">
        <f t="shared" si="1"/>
        <v>7</v>
      </c>
    </row>
    <row r="73">
      <c r="A73" s="149" t="s">
        <v>449</v>
      </c>
    </row>
    <row r="74">
      <c r="A74" s="2" t="s">
        <v>1</v>
      </c>
      <c r="B74" s="2" t="s">
        <v>2</v>
      </c>
      <c r="C74" s="134" t="s">
        <v>390</v>
      </c>
      <c r="D74" s="2" t="s">
        <v>4</v>
      </c>
      <c r="E74" s="4" t="s">
        <v>147</v>
      </c>
      <c r="F74" s="2" t="s">
        <v>6</v>
      </c>
      <c r="G74" s="134" t="s">
        <v>236</v>
      </c>
      <c r="H74" s="134" t="s">
        <v>391</v>
      </c>
      <c r="I74" s="4" t="s">
        <v>9</v>
      </c>
      <c r="J74" s="2" t="s">
        <v>10</v>
      </c>
      <c r="K74" s="5" t="s">
        <v>11</v>
      </c>
      <c r="L74" s="5" t="s">
        <v>12</v>
      </c>
      <c r="M74" s="2" t="s">
        <v>13</v>
      </c>
      <c r="N74" s="4" t="s">
        <v>14</v>
      </c>
      <c r="O74" s="2" t="s">
        <v>15</v>
      </c>
      <c r="P74" s="3"/>
      <c r="Q74" s="3"/>
      <c r="R74" s="3"/>
      <c r="S74" s="3"/>
      <c r="T74" s="3"/>
      <c r="U74" s="3"/>
      <c r="V74" s="3"/>
      <c r="W74" s="3"/>
      <c r="X74" s="3"/>
      <c r="Y74" s="3"/>
      <c r="Z74" s="3"/>
      <c r="AA74" s="3"/>
      <c r="AB74" s="3"/>
    </row>
  </sheetData>
  <mergeCells count="2">
    <mergeCell ref="A64:D64"/>
    <mergeCell ref="A73:K73"/>
  </mergeCells>
  <dataValidations>
    <dataValidation type="list" allowBlank="1" sqref="J7 J11:J12 J21 J23 J46:J48 J51 J54 J56 J59 J61">
      <formula1>"Solved,On Hold,On Progress"</formula1>
    </dataValidation>
    <dataValidation type="list" allowBlank="1" sqref="K2:K7 K9:K16 K18:K31 K44:K61">
      <formula1>"COS,RUNCHISE,VOUCHER,SIAGI,HADRAWE,NETWORK"</formula1>
    </dataValidation>
    <dataValidation type="list" allowBlank="1" sqref="I18 I22 I24:I26 I28:I31 I36:I42 I44:I45 I49:I50 I52:I53 I58 I60">
      <formula1>"Alif,Tim Dev,Aji,OMded,amel,Febryano/Bewok,Vanny,Dedy Dan Ali"</formula1>
    </dataValidation>
    <dataValidation type="list" allowBlank="1" sqref="I21 I23 I27 I46:I48 I51 I59 I61">
      <formula1>"Alif,Tim Dev,Aji,OMded,amel,Febryano/Bewok,Vanny,Dedy dan alif"</formula1>
    </dataValidation>
    <dataValidation type="list" allowBlank="1" sqref="J5:J6 J9:J10 J18 J22 J24:J26 J28:J31 J33:J34 J36:J42 J44:J45 J49:J50 J52 J55 J57:J58 J60">
      <formula1>"Solved,Unsorved,On Hold"</formula1>
    </dataValidation>
  </dataValidations>
  <hyperlinks>
    <hyperlink r:id="rId1" ref="E8"/>
  </hyperlinks>
  <printOptions horizontalCentered="1"/>
  <pageMargins bottom="0.75" footer="0.0" header="0.0" left="0.7" right="0.7" top="0.75"/>
  <pageSetup fitToHeight="0" paperSize="9" orientation="landscape" pageOrder="overThenDown"/>
  <drawing r:id="rId2"/>
  <tableParts count="4">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3" max="3" width="13.75"/>
    <col customWidth="1" min="4" max="4" width="15.63"/>
  </cols>
  <sheetData>
    <row r="1">
      <c r="A1" s="37" t="s">
        <v>1</v>
      </c>
      <c r="B1" s="37" t="s">
        <v>339</v>
      </c>
      <c r="C1" s="37" t="s">
        <v>450</v>
      </c>
      <c r="D1" s="37" t="s">
        <v>451</v>
      </c>
      <c r="E1" s="37" t="s">
        <v>452</v>
      </c>
    </row>
    <row r="2">
      <c r="A2" s="37"/>
      <c r="B2" s="37" t="s">
        <v>41</v>
      </c>
      <c r="C2" s="36"/>
      <c r="D2" s="36"/>
      <c r="E2" s="36"/>
    </row>
    <row r="3">
      <c r="A3" s="37"/>
      <c r="B3" s="37" t="s">
        <v>37</v>
      </c>
      <c r="C3" s="150">
        <v>45952.0</v>
      </c>
      <c r="D3" s="37" t="s">
        <v>453</v>
      </c>
      <c r="E3" s="37">
        <v>1.0</v>
      </c>
    </row>
    <row r="4">
      <c r="A4" s="37"/>
      <c r="B4" s="37" t="s">
        <v>16</v>
      </c>
      <c r="C4" s="36"/>
      <c r="D4" s="36"/>
      <c r="E4" s="36"/>
    </row>
    <row r="5">
      <c r="A5" s="37"/>
      <c r="B5" s="37" t="s">
        <v>23</v>
      </c>
      <c r="C5" s="36"/>
      <c r="D5" s="36"/>
      <c r="E5" s="36"/>
    </row>
    <row r="6">
      <c r="A6" s="37"/>
      <c r="B6" s="37" t="s">
        <v>33</v>
      </c>
      <c r="C6" s="36"/>
      <c r="D6" s="36"/>
      <c r="E6" s="36"/>
    </row>
    <row r="7">
      <c r="A7" s="37"/>
      <c r="B7" s="37" t="s">
        <v>45</v>
      </c>
      <c r="C7" s="36"/>
      <c r="D7" s="36"/>
      <c r="E7" s="36"/>
    </row>
    <row r="8">
      <c r="A8" s="37"/>
      <c r="B8" s="37" t="s">
        <v>152</v>
      </c>
      <c r="C8" s="36"/>
      <c r="D8" s="36"/>
      <c r="E8" s="36"/>
    </row>
    <row r="9">
      <c r="A9" s="37"/>
      <c r="B9" s="37" t="s">
        <v>165</v>
      </c>
      <c r="C9" s="36"/>
      <c r="D9" s="36"/>
      <c r="E9" s="36"/>
    </row>
    <row r="10">
      <c r="A10" s="37"/>
      <c r="B10" s="37" t="s">
        <v>149</v>
      </c>
      <c r="C10" s="36"/>
      <c r="D10" s="36"/>
      <c r="E10" s="36"/>
    </row>
    <row r="11">
      <c r="A11" s="37"/>
      <c r="B11" s="37" t="s">
        <v>160</v>
      </c>
      <c r="C11" s="36"/>
      <c r="D11" s="36"/>
      <c r="E11" s="36"/>
    </row>
    <row r="12">
      <c r="A12" s="37"/>
      <c r="B12" s="37" t="s">
        <v>399</v>
      </c>
      <c r="C12" s="36"/>
      <c r="D12" s="36"/>
      <c r="E12" s="36"/>
    </row>
    <row r="13">
      <c r="A13" s="37"/>
      <c r="B13" s="37" t="s">
        <v>200</v>
      </c>
      <c r="C13" s="36"/>
      <c r="D13" s="36"/>
      <c r="E13" s="36"/>
    </row>
    <row r="14">
      <c r="A14" s="37"/>
      <c r="B14" s="37" t="s">
        <v>177</v>
      </c>
      <c r="C14" s="36"/>
      <c r="D14" s="36"/>
      <c r="E14" s="36"/>
    </row>
    <row r="15">
      <c r="A15" s="37"/>
      <c r="B15" s="37" t="s">
        <v>454</v>
      </c>
      <c r="C15" s="36"/>
      <c r="D15" s="36"/>
      <c r="E15" s="36"/>
    </row>
    <row r="16">
      <c r="A16" s="37"/>
      <c r="B16" s="37" t="s">
        <v>319</v>
      </c>
      <c r="C16" s="150">
        <v>45936.0</v>
      </c>
      <c r="D16" s="37" t="s">
        <v>455</v>
      </c>
      <c r="E16" s="37">
        <v>1.0</v>
      </c>
    </row>
    <row r="17">
      <c r="A17" s="37"/>
      <c r="B17" s="37" t="s">
        <v>308</v>
      </c>
      <c r="C17" s="36"/>
      <c r="D17" s="36"/>
      <c r="E17" s="36"/>
    </row>
    <row r="18">
      <c r="A18" s="37"/>
      <c r="B18" s="37" t="s">
        <v>383</v>
      </c>
      <c r="C18" s="36"/>
      <c r="D18" s="36"/>
      <c r="E18" s="36"/>
    </row>
    <row r="19">
      <c r="A19" s="37"/>
      <c r="B19" s="37" t="s">
        <v>287</v>
      </c>
      <c r="C19" s="36"/>
      <c r="D19" s="36"/>
      <c r="E19" s="36"/>
    </row>
  </sheetData>
  <drawing r:id="rId1"/>
</worksheet>
</file>